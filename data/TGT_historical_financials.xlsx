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c4c7450a9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b4643c591bb04ed1"/>
    <x:sheet xmlns:r="http://schemas.openxmlformats.org/officeDocument/2006/relationships" name="Balance Sheet" sheetId="2" r:id="R24036ae310824d3f"/>
    <x:sheet xmlns:r="http://schemas.openxmlformats.org/officeDocument/2006/relationships" name="Cash Flow Statement" sheetId="3" r:id="Rbe18825360de4fcd"/>
    <x:sheet xmlns:r="http://schemas.openxmlformats.org/officeDocument/2006/relationships" name="Sources" sheetId="4" r:id="Rb469efa241c04c48"/>
  </x:sheets>
</x:workbook>
</file>

<file path=xl/sharedStrings.xml><?xml version="1.0" encoding="utf-8"?>
<x:sst xmlns:x="http://schemas.openxmlformats.org/spreadsheetml/2006/main">
  <x:si>
    <x:t xml:space="preserve">Target Corporation - Income Statement</x:t>
  </x:si>
  <x:si>
    <x:t xml:space="preserve">Historical actuals from Target 10-K filings | $ in millions, except per-share data</x:t>
  </x:si>
  <x:si>
    <x:t xml:space="preserve">FY2021A</x:t>
  </x:si>
  <x:si>
    <x:t xml:space="preserve">FY2022A</x:t>
  </x:si>
  <x:si>
    <x:t xml:space="preserve">FY2023A</x:t>
  </x:si>
  <x:si>
    <x:t xml:space="preserve">FY2024A</x:t>
  </x:si>
  <x:si>
    <x:t xml:space="preserve">FY2025A</x:t>
  </x:si>
  <x:si>
    <x:t xml:space="preserve">Net Sales</x:t>
  </x:si>
  <x:si>
    <x:t xml:space="preserve">Revenue Growth %</x:t>
  </x:si>
  <x:si>
    <x:t xml:space="preserve">Cost of Sales</x:t>
  </x:si>
  <x:si>
    <x:t xml:space="preserve">Gross Profit</x:t>
  </x:si>
  <x:si>
    <x:t xml:space="preserve">Gross Margin %</x:t>
  </x:si>
  <x:si>
    <x:t xml:space="preserve">SG&amp;A</x:t>
  </x:si>
  <x:si>
    <x:t xml:space="preserve">D&amp;A (in Opex)</x:t>
  </x:si>
  <x:si>
    <x:t xml:space="preserve">Total Operating Expenses</x:t>
  </x:si>
  <x:si>
    <x:t xml:space="preserve">Operating Income</x:t>
  </x:si>
  <x:si>
    <x:t xml:space="preserve">Operating Margin %</x:t>
  </x:si>
  <x:si>
    <x:t xml:space="preserve">Net Interest Expense</x:t>
  </x:si>
  <x:si>
    <x:t xml:space="preserve">Net Other Income/(Expense)</x:t>
  </x:si>
  <x:si>
    <x:t xml:space="preserve">Earnings Before Income Taxes</x:t>
  </x:si>
  <x:si>
    <x:t xml:space="preserve">Provision for Income Taxes</x:t>
  </x:si>
  <x:si>
    <x:t xml:space="preserve">Effective Tax Rate %</x:t>
  </x:si>
  <x:si>
    <x:t xml:space="preserve">Net Earnings</x:t>
  </x:si>
  <x:si>
    <x:t xml:space="preserve">Net Margin %</x:t>
  </x:si>
  <x:si>
    <x:t xml:space="preserve">Weighted Avg Basic Shares</x:t>
  </x:si>
  <x:si>
    <x:t xml:space="preserve">Weighted Avg Diluted Shares</x:t>
  </x:si>
  <x:si>
    <x:t xml:space="preserve">Basic EPS</x:t>
  </x:si>
  <x:si>
    <x:t xml:space="preserve">Diluted EPS</x:t>
  </x:si>
  <x:si>
    <x:t xml:space="preserve">Target Corporation - Balance Sheet</x:t>
  </x:si>
  <x:si>
    <x:t xml:space="preserve">Cash &amp; Cash Equivalents</x:t>
  </x:si>
  <x:si>
    <x:t xml:space="preserve">Inventory</x:t>
  </x:si>
  <x:si>
    <x:t xml:space="preserve">Other Current Assets</x:t>
  </x:si>
  <x:si>
    <x:t xml:space="preserve">Total Current Assets</x:t>
  </x:si>
  <x:si>
    <x:t xml:space="preserve">Property &amp; Equipment, net</x:t>
  </x:si>
  <x:si>
    <x:t xml:space="preserve">Operating Lease Assets</x:t>
  </x:si>
  <x:si>
    <x:t xml:space="preserve">Other Noncurrent Assets</x:t>
  </x:si>
  <x:si>
    <x:t xml:space="preserve">Total Assets</x:t>
  </x:si>
  <x:si>
    <x:t xml:space="preserve">Accounts Payable</x:t>
  </x:si>
  <x:si>
    <x:t xml:space="preserve">Accrued &amp; Other Current Liabilities</x:t>
  </x:si>
  <x:si>
    <x:t xml:space="preserve">Current Portion of LT Debt</x:t>
  </x:si>
  <x:si>
    <x:t xml:space="preserve">Total Current Liabilities</x:t>
  </x:si>
  <x:si>
    <x:t xml:space="preserve">Long-Term Debt</x:t>
  </x:si>
  <x:si>
    <x:t xml:space="preserve">Noncurrent Operating Lease Liabilities</x:t>
  </x:si>
  <x:si>
    <x:t xml:space="preserve">Deferred Income Taxes</x:t>
  </x:si>
  <x:si>
    <x:t xml:space="preserve">Other Noncurrent Liabilities</x:t>
  </x:si>
  <x:si>
    <x:t xml:space="preserve">Total Noncurrent Liabilities</x:t>
  </x:si>
  <x:si>
    <x:t xml:space="preserve">Common Stock</x:t>
  </x:si>
  <x:si>
    <x:t xml:space="preserve">Additional Paid-in Capital</x:t>
  </x:si>
  <x:si>
    <x:t xml:space="preserve">Retained Earnings</x:t>
  </x:si>
  <x:si>
    <x:t xml:space="preserve">Accumulated Other Comprehensive Loss</x:t>
  </x:si>
  <x:si>
    <x:t xml:space="preserve">Total Shareholders’ Investment</x:t>
  </x:si>
  <x:si>
    <x:t xml:space="preserve">Total Liabilities &amp; Equity</x:t>
  </x:si>
  <x:si>
    <x:t xml:space="preserve">Balance Check</x:t>
  </x:si>
  <x:si>
    <x:t xml:space="preserve">Target Corporation - Cash Flow Statement</x:t>
  </x:si>
  <x:si>
    <x:t xml:space="preserve">D&amp;A (full, CFS basis)</x:t>
  </x:si>
  <x:si>
    <x:t xml:space="preserve">Share-Based Compensation</x:t>
  </x:si>
  <x:si>
    <x:t xml:space="preserve">Gain on Dermstore Sale</x:t>
  </x:si>
  <x:si>
    <x:t xml:space="preserve">Noncash (Gains)/Losses &amp; Other, net</x:t>
  </x:si>
  <x:si>
    <x:t xml:space="preserve">Changes in Inventory</x:t>
  </x:si>
  <x:si>
    <x:t xml:space="preserve">Changes in Other Current Assets</x:t>
  </x:si>
  <x:si>
    <x:t xml:space="preserve">Changes in Accounts Payable</x:t>
  </x:si>
  <x:si>
    <x:t xml:space="preserve">Changes in Accrued &amp; Other Liabilities</x:t>
  </x:si>
  <x:si>
    <x:t xml:space="preserve">Cash from Operating Activities</x:t>
  </x:si>
  <x:si>
    <x:t xml:space="preserve">Capital Expenditures</x:t>
  </x:si>
  <x:si>
    <x:t xml:space="preserve">Proceeds from Disposal of PP&amp;E</x:t>
  </x:si>
  <x:si>
    <x:t xml:space="preserve">Proceeds from Dermstore Sale</x:t>
  </x:si>
  <x:si>
    <x:t xml:space="preserve">Change in Other LT Assets / Other Investing</x:t>
  </x:si>
  <x:si>
    <x:t xml:space="preserve">Other Investing</x:t>
  </x:si>
  <x:si>
    <x:t xml:space="preserve">Cash used in Investing Activities</x:t>
  </x:si>
  <x:si>
    <x:t xml:space="preserve">Additions to Long-Term Debt</x:t>
  </x:si>
  <x:si>
    <x:t xml:space="preserve">Reductions of Long-Term Debt</x:t>
  </x:si>
  <x:si>
    <x:t xml:space="preserve">Dividends Paid</x:t>
  </x:si>
  <x:si>
    <x:t xml:space="preserve">Repurchase of Stock</x:t>
  </x:si>
  <x:si>
    <x:t xml:space="preserve">Stock Option Exercises / Shares Withheld</x:t>
  </x:si>
  <x:si>
    <x:t xml:space="preserve">Cash used in Financing Activities</x:t>
  </x:si>
  <x:si>
    <x:t xml:space="preserve">Net Change in Cash</x:t>
  </x:si>
  <x:si>
    <x:t xml:space="preserve">Beginning Cash</x:t>
  </x:si>
  <x:si>
    <x:t xml:space="preserve">Ending Cash</x:t>
  </x:si>
  <x:si>
    <x:t xml:space="preserve">Item</x:t>
  </x:si>
  <x:si>
    <x:t xml:space="preserve">Period</x:t>
  </x:si>
  <x:si>
    <x:t xml:space="preserve">Source</x:t>
  </x:si>
  <x:si>
    <x:t xml:space="preserve">Notes</x:t>
  </x:si>
  <x:si>
    <x:t xml:space="preserve">Target 10-K financial statements</x:t>
  </x:si>
  <x:si>
    <x:t xml:space="preserve">FY2021-FY2025</x:t>
  </x:si>
  <x:si>
    <x:t xml:space="preserve">SEC EDGAR, Target Corporation Forms 10-K</x:t>
  </x:si>
  <x:si>
    <x:t xml:space="preserve">Historical income statement, balance sheet, and cash flow data.</x:t>
  </x:si>
  <x:si>
    <x:t xml:space="preserve">Revenue presentation adjustment</x:t>
  </x:si>
  <x:si>
    <x:t xml:space="preserve">FY2021-FY2022</x:t>
  </x:si>
  <x:si>
    <x:t xml:space="preserve">Target 10-K filings</x:t>
  </x:si>
  <x:si>
    <x:t xml:space="preserve">Sales and Other revenue combined to match the single Net sales line used from FY2023 onward.</x:t>
  </x:si>
  <x:si>
    <x:t xml:space="preserve">Model cross-checks</x:t>
  </x:si>
  <x:si>
    <x:t xml:space="preserve">Final 3-statement model</x:t>
  </x:si>
  <x:si>
    <x:t xml:space="preserve">EPS, balance sheet, and cash-flow ties checked against the model.</x:t>
  </x:si>
  <x:si>
    <x:t xml:space="preserve">Units</x:t>
  </x:si>
  <x:si>
    <x:t xml:space="preserve">All periods</x:t>
  </x:si>
  <x:si>
    <x:t xml:space="preserve">Workbook convention</x:t>
  </x:si>
  <x:si>
    <x:t xml:space="preserve">$ in millions, except per-share data.</x:t>
  </x:si>
</x:sst>
</file>

<file path=xl/styles.xml><?xml version="1.0" encoding="utf-8"?>
<x:styleSheet xmlns:x="http://schemas.openxmlformats.org/spreadsheetml/2006/main">
  <x:numFmts count="3">
    <x:numFmt numFmtId="164" formatCode="#,##0;[Red]\(#,##0\);\-"/>
    <x:numFmt numFmtId="165" formatCode="0.0%;[Red]\(0.0%\);\-"/>
    <x:numFmt numFmtId="166" formatCode="0.00;[Red]\(0.00\);\-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color rgb="FF66666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theme="4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3" fillId="2" borderId="1" xfId="0" applyFont="1" applyFill="1" applyBorder="1" applyAlignment="1">
      <x:alignment horizontal="right"/>
    </x:xf>
    <x:xf numFmtId="0" fontId="0" fillId="0" borderId="0" xfId="0" applyAlignment="1">
      <x:alignment horizontal="left"/>
    </x:xf>
    <x:xf numFmtId="164" fontId="0" fillId="0" borderId="0" xfId="0" applyNumberFormat="1" applyAlignment="1">
      <x:alignment horizontal="right"/>
    </x:xf>
    <x:xf numFmtId="165" fontId="0" fillId="0" borderId="0" xfId="0" applyNumberFormat="1" applyAlignment="1">
      <x:alignment horizontal="right"/>
    </x:xf>
    <x:xf numFmtId="166" fontId="0" fillId="0" borderId="0" xfId="0" applyNumberFormat="1" applyAlignment="1">
      <x:alignment horizontal="right"/>
    </x:xf>
    <x:xf numFmtId="0" fontId="0" fillId="0" borderId="0" xfId="0" applyAlignment="1">
      <x:alignment wrapText="1"/>
    </x:xf>
    <x:xf numFmtId="0" fontId="2" fillId="0" borderId="0" xfId="0" applyFont="1"/>
    <x:xf numFmtId="0" fontId="1" fillId="3" borderId="0" xfId="0" applyFont="1" applyFill="1" applyAlignment="1">
      <x:alignment vertical="center"/>
    </x:xf>
    <x:xf numFmtId="0" fontId="4" fillId="3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6437d92504003" /><Relationship Type="http://schemas.openxmlformats.org/officeDocument/2006/relationships/theme" Target="/xl/theme/theme1.xml" Id="Raf59b16139ce4923" /><Relationship Type="http://schemas.openxmlformats.org/officeDocument/2006/relationships/sharedStrings" Target="/xl/sharedStrings.xml" Id="Re9e82f183e9f4b0e" /><Relationship Type="http://schemas.openxmlformats.org/officeDocument/2006/relationships/worksheet" Target="/xl/worksheets/sheet1.xml" Id="Rb4643c591bb04ed1" /><Relationship Type="http://schemas.openxmlformats.org/officeDocument/2006/relationships/worksheet" Target="/xl/worksheets/sheet2.xml" Id="R24036ae310824d3f" /><Relationship Type="http://schemas.openxmlformats.org/officeDocument/2006/relationships/worksheet" Target="/xl/worksheets/sheet3.xml" Id="Rbe18825360de4fcd" /><Relationship Type="http://schemas.openxmlformats.org/officeDocument/2006/relationships/worksheet" Target="/xl/worksheets/sheet4.xml" Id="Rb469efa241c0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2" customWidth="1"/>
    <x:col min="2" max="6" width="14" customWidth="1"/>
  </x:cols>
  <x:sheetData>
    <x:row r="1" ht="24" customHeight="1">
      <x:c r="A1" s="8" t="s">
        <x:v>0</x:v>
      </x:c>
      <x:c r="B1" s="8"/>
      <x:c r="C1" s="8"/>
      <x:c r="D1" s="8"/>
      <x:c r="E1" s="8"/>
      <x:c r="F1" s="8"/>
    </x:row>
    <x:row r="2">
      <x:c r="A2" s="7" t="s">
        <x:v>1</x:v>
      </x:c>
      <x:c r="B2" s="7"/>
      <x:c r="C2" s="7"/>
      <x:c r="D2" s="7"/>
      <x:c r="E2" s="7"/>
      <x:c r="F2" s="7"/>
    </x:row>
    <x:row r="4">
      <x:c r="A4" s="1"/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</x:row>
    <x:row r="5">
      <x:c r="A5" s="2"/>
      <x:c r="B5" s="3"/>
      <x:c r="C5" s="3"/>
      <x:c r="D5" s="3"/>
      <x:c r="E5" s="3"/>
      <x:c r="F5" s="3"/>
    </x:row>
    <x:row r="6">
      <x:c r="A6" s="2" t="s">
        <x:v>7</x:v>
      </x:c>
      <x:c r="B6" s="3">
        <x:v>106005</x:v>
      </x:c>
      <x:c r="C6" s="3">
        <x:v>109120</x:v>
      </x:c>
      <x:c r="D6" s="3">
        <x:v>107412</x:v>
      </x:c>
      <x:c r="E6" s="3">
        <x:v>106566</x:v>
      </x:c>
      <x:c r="F6" s="3">
        <x:v>104780</x:v>
      </x:c>
    </x:row>
    <x:row r="7">
      <x:c r="A7" s="2" t="s">
        <x:v>8</x:v>
      </x:c>
      <x:c r="B7" s="4"/>
      <x:c r="C7" s="4">
        <x:v>2.9385406348757082E-2</x:v>
      </x:c>
      <x:c r="D7" s="4">
        <x:v>-1.5652492668621676E-2</x:v>
      </x:c>
      <x:c r="E7" s="4">
        <x:v>-7.876214948050464E-3</x:v>
      </x:c>
      <x:c r="F7" s="4">
        <x:v>-1.6759566841206386E-2</x:v>
      </x:c>
    </x:row>
    <x:row r="8">
      <x:c r="A8" s="2" t="s">
        <x:v>9</x:v>
      </x:c>
      <x:c r="B8" s="3">
        <x:v>74963</x:v>
      </x:c>
      <x:c r="C8" s="3" t="n">
        <x:v>82306</x:v>
      </x:c>
      <x:c r="D8" s="3">
        <x:v>77828</x:v>
      </x:c>
      <x:c r="E8" s="3">
        <x:v>76502</x:v>
      </x:c>
      <x:c r="F8" s="3">
        <x:v>75511</x:v>
      </x:c>
    </x:row>
    <x:row r="9">
      <x:c r="A9" s="2" t="s">
        <x:v>10</x:v>
      </x:c>
      <x:c r="B9" s="3" t="n">
        <x:f>B6-B8</x:f>
        <x:v>31042</x:v>
      </x:c>
      <x:c r="C9" s="3" t="n">
        <x:f>C6-C8</x:f>
        <x:v>26814</x:v>
      </x:c>
      <x:c r="D9" s="3" t="n">
        <x:f>D6-D8</x:f>
        <x:v>29584</x:v>
      </x:c>
      <x:c r="E9" s="3" t="n">
        <x:f>E6-E8</x:f>
        <x:v>30064</x:v>
      </x:c>
      <x:c r="F9" s="3" t="n">
        <x:f>F6-F8</x:f>
        <x:v>29269</x:v>
      </x:c>
    </x:row>
    <x:row r="10">
      <x:c r="A10" s="2" t="s">
        <x:v>11</x:v>
      </x:c>
      <x:c r="B10" s="4" t="n">
        <x:f>B9/B6</x:f>
        <x:v>0.29283524362058394</x:v>
      </x:c>
      <x:c r="C10" s="4" t="n">
        <x:f>C9/C6</x:f>
        <x:v>0.24572947214076246</x:v>
      </x:c>
      <x:c r="D10" s="4" t="n">
        <x:f>D9/D6</x:f>
        <x:v>0.2754254645663427</x:v>
      </x:c>
      <x:c r="E10" s="4" t="n">
        <x:f>E9/E6</x:f>
        <x:v>0.28211624720830286</x:v>
      </x:c>
      <x:c r="F10" s="4" t="n">
        <x:f>F9/F6</x:f>
        <x:v>0.2793376598587517</x:v>
      </x:c>
    </x:row>
    <x:row r="11">
      <x:c r="A11" s="2" t="s">
        <x:v>12</x:v>
      </x:c>
      <x:c r="B11" s="3">
        <x:v>19752</x:v>
      </x:c>
      <x:c r="C11" s="3" t="n">
        <x:v>20581</x:v>
      </x:c>
      <x:c r="D11" s="3">
        <x:v>21462</x:v>
      </x:c>
      <x:c r="E11" s="3">
        <x:v>21969</x:v>
      </x:c>
      <x:c r="F11" s="3">
        <x:v>21535</x:v>
      </x:c>
    </x:row>
    <x:row r="12">
      <x:c r="A12" s="2" t="s">
        <x:v>13</x:v>
      </x:c>
      <x:c r="B12" s="3">
        <x:v>2344</x:v>
      </x:c>
      <x:c r="C12" s="3">
        <x:v>2385</x:v>
      </x:c>
      <x:c r="D12" s="3">
        <x:v>2415</x:v>
      </x:c>
      <x:c r="E12" s="3">
        <x:v>2529</x:v>
      </x:c>
      <x:c r="F12" s="3">
        <x:v>2617</x:v>
      </x:c>
    </x:row>
    <x:row r="13">
      <x:c r="A13" s="2" t="s">
        <x:v>14</x:v>
      </x:c>
      <x:c r="B13" s="3" t="n">
        <x:f>SUM(B11:B12)</x:f>
        <x:v>22096</x:v>
      </x:c>
      <x:c r="C13" s="3" t="n">
        <x:f>SUM(C11:C12)</x:f>
        <x:v>22966</x:v>
      </x:c>
      <x:c r="D13" s="3" t="n">
        <x:f>SUM(D11:D12)</x:f>
        <x:v>23877</x:v>
      </x:c>
      <x:c r="E13" s="3" t="n">
        <x:f>SUM(E11:E12)</x:f>
        <x:v>24498</x:v>
      </x:c>
      <x:c r="F13" s="3" t="n">
        <x:f>SUM(F11:F12)</x:f>
        <x:v>24152</x:v>
      </x:c>
    </x:row>
    <x:row r="14">
      <x:c r="A14" s="2" t="s">
        <x:v>15</x:v>
      </x:c>
      <x:c r="B14" s="3">
        <x:v>8946</x:v>
      </x:c>
      <x:c r="C14" s="3">
        <x:v>3848</x:v>
      </x:c>
      <x:c r="D14" s="3">
        <x:v>5707</x:v>
      </x:c>
      <x:c r="E14" s="3">
        <x:v>5566</x:v>
      </x:c>
      <x:c r="F14" s="3">
        <x:v>5117</x:v>
      </x:c>
    </x:row>
    <x:row r="15">
      <x:c r="A15" s="2" t="s">
        <x:v>16</x:v>
      </x:c>
      <x:c r="B15" s="4" t="n">
        <x:f>B14/B6</x:f>
        <x:v>0.08439224564879015</x:v>
      </x:c>
      <x:c r="C15" s="4" t="n">
        <x:f>C14/C6</x:f>
        <x:v>0.03526392961876833</x:v>
      </x:c>
      <x:c r="D15" s="4" t="n">
        <x:f>D14/D6</x:f>
        <x:v>0.05313186608572599</x:v>
      </x:c>
      <x:c r="E15" s="4" t="n">
        <x:f>E14/E6</x:f>
        <x:v>0.052230542574554735</x:v>
      </x:c>
      <x:c r="F15" s="4" t="n">
        <x:f>F14/F6</x:f>
        <x:v>0.048835655659477</x:v>
      </x:c>
    </x:row>
    <x:row r="16">
      <x:c r="A16" s="2" t="s">
        <x:v>17</x:v>
      </x:c>
      <x:c r="B16" s="3">
        <x:v>421</x:v>
      </x:c>
      <x:c r="C16" s="3">
        <x:v>478</x:v>
      </x:c>
      <x:c r="D16" s="3">
        <x:v>502</x:v>
      </x:c>
      <x:c r="E16" s="3">
        <x:v>411</x:v>
      </x:c>
      <x:c r="F16" s="3">
        <x:v>445</x:v>
      </x:c>
    </x:row>
    <x:row r="17">
      <x:c r="A17" s="2" t="s">
        <x:v>18</x:v>
      </x:c>
      <x:c r="B17" s="3">
        <x:v>382</x:v>
      </x:c>
      <x:c r="C17" s="3">
        <x:v>48</x:v>
      </x:c>
      <x:c r="D17" s="3">
        <x:v>92</x:v>
      </x:c>
      <x:c r="E17" s="3">
        <x:v>106</x:v>
      </x:c>
      <x:c r="F17" s="3">
        <x:v>95</x:v>
      </x:c>
    </x:row>
    <x:row r="18">
      <x:c r="A18" s="2" t="s">
        <x:v>19</x:v>
      </x:c>
      <x:c r="B18" s="3">
        <x:v>8907</x:v>
      </x:c>
      <x:c r="C18" s="3">
        <x:v>3418</x:v>
      </x:c>
      <x:c r="D18" s="3">
        <x:v>5297</x:v>
      </x:c>
      <x:c r="E18" s="3">
        <x:v>5261</x:v>
      </x:c>
      <x:c r="F18" s="3">
        <x:v>4767</x:v>
      </x:c>
    </x:row>
    <x:row r="19">
      <x:c r="A19" s="2" t="s">
        <x:v>20</x:v>
      </x:c>
      <x:c r="B19" s="3">
        <x:v>1961</x:v>
      </x:c>
      <x:c r="C19" s="3">
        <x:v>638</x:v>
      </x:c>
      <x:c r="D19" s="3">
        <x:v>1159</x:v>
      </x:c>
      <x:c r="E19" s="3">
        <x:v>1170</x:v>
      </x:c>
      <x:c r="F19" s="3">
        <x:v>1062</x:v>
      </x:c>
    </x:row>
    <x:row r="20">
      <x:c r="A20" s="2" t="s">
        <x:v>21</x:v>
      </x:c>
      <x:c r="B20" s="4" t="n">
        <x:f>B19/B18</x:f>
        <x:v>0.220163916021107</x:v>
      </x:c>
      <x:c r="C20" s="4" t="n">
        <x:f>C19/C18</x:f>
        <x:v>0.18665886483323582</x:v>
      </x:c>
      <x:c r="D20" s="4" t="n">
        <x:f>D19/D18</x:f>
        <x:v>0.2188030960921276</x:v>
      </x:c>
      <x:c r="E20" s="4" t="n">
        <x:f>E19/E18</x:f>
        <x:v>0.22239118038395742</x:v>
      </x:c>
      <x:c r="F20" s="4" t="n">
        <x:f>F19/F18</x:f>
        <x:v>0.22278162366268092</x:v>
      </x:c>
    </x:row>
    <x:row r="21">
      <x:c r="A21" s="2" t="s">
        <x:v>22</x:v>
      </x:c>
      <x:c r="B21" s="3">
        <x:v>6946</x:v>
      </x:c>
      <x:c r="C21" s="3">
        <x:v>2780</x:v>
      </x:c>
      <x:c r="D21" s="3">
        <x:v>4138</x:v>
      </x:c>
      <x:c r="E21" s="3">
        <x:v>4091</x:v>
      </x:c>
      <x:c r="F21" s="3">
        <x:v>3705</x:v>
      </x:c>
    </x:row>
    <x:row r="22">
      <x:c r="A22" s="2" t="s">
        <x:v>23</x:v>
      </x:c>
      <x:c r="B22" s="4" t="n">
        <x:f>B21/B6</x:f>
        <x:v>0.0655252110749493</x:v>
      </x:c>
      <x:c r="C22" s="4" t="n">
        <x:f>C21/C6</x:f>
        <x:v>0.025476539589442817</x:v>
      </x:c>
      <x:c r="D22" s="4" t="n">
        <x:f>D21/D6</x:f>
        <x:v>0.03852455963951886</x:v>
      </x:c>
      <x:c r="E22" s="4" t="n">
        <x:f>E21/E6</x:f>
        <x:v>0.03838935495373759</x:v>
      </x:c>
      <x:c r="F22" s="4" t="n">
        <x:f>F21/F6</x:f>
        <x:v>0.03535980148883375</x:v>
      </x:c>
    </x:row>
    <x:row r="23">
      <x:c r="A23" s="2" t="s">
        <x:v>24</x:v>
      </x:c>
      <x:c r="B23" s="3">
        <x:v>488.1</x:v>
      </x:c>
      <x:c r="C23" s="3">
        <x:v>462.1</x:v>
      </x:c>
      <x:c r="D23" s="3">
        <x:v>461.5</x:v>
      </x:c>
      <x:c r="E23" s="3">
        <x:v>460.4</x:v>
      </x:c>
      <x:c r="F23" s="3">
        <x:v>454.1</x:v>
      </x:c>
    </x:row>
    <x:row r="24">
      <x:c r="A24" s="2" t="s">
        <x:v>25</x:v>
      </x:c>
      <x:c r="B24" s="3">
        <x:v>492.7</x:v>
      </x:c>
      <x:c r="C24" s="3">
        <x:v>464.7</x:v>
      </x:c>
      <x:c r="D24" s="3">
        <x:v>462.8</x:v>
      </x:c>
      <x:c r="E24" s="3">
        <x:v>461.8</x:v>
      </x:c>
      <x:c r="F24" s="3">
        <x:v>455.6</x:v>
      </x:c>
    </x:row>
    <x:row r="25">
      <x:c r="A25" s="2" t="s">
        <x:v>26</x:v>
      </x:c>
      <x:c r="B25" s="5">
        <x:v>14.23</x:v>
      </x:c>
      <x:c r="C25" s="5">
        <x:v>6.02</x:v>
      </x:c>
      <x:c r="D25" s="5">
        <x:v>8.9600000000000009</x:v>
      </x:c>
      <x:c r="E25" s="5">
        <x:v>8.89</x:v>
      </x:c>
      <x:c r="F25" s="5">
        <x:v>8.16</x:v>
      </x:c>
    </x:row>
    <x:row r="26">
      <x:c r="A26" s="2" t="s">
        <x:v>27</x:v>
      </x:c>
      <x:c r="B26" s="5">
        <x:v>14.1</x:v>
      </x:c>
      <x:c r="C26" s="5">
        <x:v>5.98</x:v>
      </x:c>
      <x:c r="D26" s="5">
        <x:v>8.94</x:v>
      </x:c>
      <x:c r="E26" s="5">
        <x:v>8.86</x:v>
      </x:c>
      <x:c r="F26" s="5">
        <x:v>8.1300000000000008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2" customWidth="1"/>
    <x:col min="2" max="6" width="14" customWidth="1"/>
  </x:cols>
  <x:sheetData>
    <x:row r="1" ht="24" customHeight="1">
      <x:c r="A1" s="8" t="s">
        <x:v>28</x:v>
      </x:c>
      <x:c r="B1" s="8"/>
      <x:c r="C1" s="8"/>
      <x:c r="D1" s="8"/>
      <x:c r="E1" s="8"/>
      <x:c r="F1" s="8"/>
    </x:row>
    <x:row r="2">
      <x:c r="A2" s="7" t="s">
        <x:v>1</x:v>
      </x:c>
      <x:c r="B2" s="7"/>
      <x:c r="C2" s="7"/>
      <x:c r="D2" s="7"/>
      <x:c r="E2" s="7"/>
      <x:c r="F2" s="7"/>
    </x:row>
    <x:row r="4">
      <x:c r="A4" s="1"/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</x:row>
    <x:row r="5">
      <x:c r="A5" s="2"/>
      <x:c r="B5" s="3"/>
      <x:c r="C5" s="3"/>
      <x:c r="D5" s="3"/>
      <x:c r="E5" s="3"/>
      <x:c r="F5" s="3"/>
    </x:row>
    <x:row r="6">
      <x:c r="A6" s="2" t="s">
        <x:v>29</x:v>
      </x:c>
      <x:c r="B6" s="3">
        <x:v>5911</x:v>
      </x:c>
      <x:c r="C6" s="3">
        <x:v>2229</x:v>
      </x:c>
      <x:c r="D6" s="3">
        <x:v>3805</x:v>
      </x:c>
      <x:c r="E6" s="3">
        <x:v>4762</x:v>
      </x:c>
      <x:c r="F6" s="3">
        <x:v>5488</x:v>
      </x:c>
    </x:row>
    <x:row r="7">
      <x:c r="A7" s="2" t="s">
        <x:v>30</x:v>
      </x:c>
      <x:c r="B7" s="3">
        <x:v>13902</x:v>
      </x:c>
      <x:c r="C7" s="3">
        <x:v>13499</x:v>
      </x:c>
      <x:c r="D7" s="3">
        <x:v>11886</x:v>
      </x:c>
      <x:c r="E7" s="3">
        <x:v>12740</x:v>
      </x:c>
      <x:c r="F7" s="3">
        <x:v>12304</x:v>
      </x:c>
    </x:row>
    <x:row r="8">
      <x:c r="A8" s="2" t="s">
        <x:v>31</x:v>
      </x:c>
      <x:c r="B8" s="3">
        <x:v>1760</x:v>
      </x:c>
      <x:c r="C8" s="3">
        <x:v>2118</x:v>
      </x:c>
      <x:c r="D8" s="3">
        <x:v>1807</x:v>
      </x:c>
      <x:c r="E8" s="3">
        <x:v>1952</x:v>
      </x:c>
      <x:c r="F8" s="3">
        <x:v>2213</x:v>
      </x:c>
    </x:row>
    <x:row r="9">
      <x:c r="A9" s="2" t="s">
        <x:v>32</x:v>
      </x:c>
      <x:c r="B9" s="3">
        <x:v>21573</x:v>
      </x:c>
      <x:c r="C9" s="3">
        <x:v>17846</x:v>
      </x:c>
      <x:c r="D9" s="3">
        <x:v>17498</x:v>
      </x:c>
      <x:c r="E9" s="3">
        <x:v>19454</x:v>
      </x:c>
      <x:c r="F9" s="3">
        <x:v>20005</x:v>
      </x:c>
    </x:row>
    <x:row r="10">
      <x:c r="A10" s="2" t="s">
        <x:v>33</x:v>
      </x:c>
      <x:c r="B10" s="3">
        <x:v>28181</x:v>
      </x:c>
      <x:c r="C10" s="3">
        <x:v>31512</x:v>
      </x:c>
      <x:c r="D10" s="3">
        <x:v>33096</x:v>
      </x:c>
      <x:c r="E10" s="3">
        <x:v>33022</x:v>
      </x:c>
      <x:c r="F10" s="3">
        <x:v>33749</x:v>
      </x:c>
    </x:row>
    <x:row r="11">
      <x:c r="A11" s="2" t="s">
        <x:v>34</x:v>
      </x:c>
      <x:c r="B11" s="3">
        <x:v>2556</x:v>
      </x:c>
      <x:c r="C11" s="3">
        <x:v>2657</x:v>
      </x:c>
      <x:c r="D11" s="3">
        <x:v>3362</x:v>
      </x:c>
      <x:c r="E11" s="3">
        <x:v>3763</x:v>
      </x:c>
      <x:c r="F11" s="3">
        <x:v>3703</x:v>
      </x:c>
    </x:row>
    <x:row r="12">
      <x:c r="A12" s="2" t="s">
        <x:v>35</x:v>
      </x:c>
      <x:c r="B12" s="3">
        <x:v>1501</x:v>
      </x:c>
      <x:c r="C12" s="3">
        <x:v>1320</x:v>
      </x:c>
      <x:c r="D12" s="3">
        <x:v>1400</x:v>
      </x:c>
      <x:c r="E12" s="3">
        <x:v>1530</x:v>
      </x:c>
      <x:c r="F12" s="3">
        <x:v>2033</x:v>
      </x:c>
    </x:row>
    <x:row r="13">
      <x:c r="A13" s="2" t="s">
        <x:v>36</x:v>
      </x:c>
      <x:c r="B13" s="3">
        <x:v>53811</x:v>
      </x:c>
      <x:c r="C13" s="3">
        <x:v>53335</x:v>
      </x:c>
      <x:c r="D13" s="3">
        <x:v>55356</x:v>
      </x:c>
      <x:c r="E13" s="3">
        <x:v>57769</x:v>
      </x:c>
      <x:c r="F13" s="3">
        <x:v>59490</x:v>
      </x:c>
    </x:row>
    <x:row r="14">
      <x:c r="A14" s="2" t="s">
        <x:v>37</x:v>
      </x:c>
      <x:c r="B14" s="3">
        <x:v>15478</x:v>
      </x:c>
      <x:c r="C14" s="3">
        <x:v>13487</x:v>
      </x:c>
      <x:c r="D14" s="3">
        <x:v>12098</x:v>
      </x:c>
      <x:c r="E14" s="3">
        <x:v>13053</x:v>
      </x:c>
      <x:c r="F14" s="3">
        <x:v>12622</x:v>
      </x:c>
    </x:row>
    <x:row r="15">
      <x:c r="A15" s="2" t="s">
        <x:v>38</x:v>
      </x:c>
      <x:c r="B15" s="3">
        <x:v>6098</x:v>
      </x:c>
      <x:c r="C15" s="3">
        <x:v>5883</x:v>
      </x:c>
      <x:c r="D15" s="3">
        <x:v>6090</x:v>
      </x:c>
      <x:c r="E15" s="3">
        <x:v>6110</x:v>
      </x:c>
      <x:c r="F15" s="3">
        <x:v>6478</x:v>
      </x:c>
    </x:row>
    <x:row r="16">
      <x:c r="A16" s="2" t="s">
        <x:v>39</x:v>
      </x:c>
      <x:c r="B16" s="3">
        <x:v>171</x:v>
      </x:c>
      <x:c r="C16" s="3">
        <x:v>130</x:v>
      </x:c>
      <x:c r="D16" s="3">
        <x:v>1116</x:v>
      </x:c>
      <x:c r="E16" s="3">
        <x:v>1636</x:v>
      </x:c>
      <x:c r="F16" s="3">
        <x:v>2130</x:v>
      </x:c>
    </x:row>
    <x:row r="17">
      <x:c r="A17" s="2" t="s">
        <x:v>40</x:v>
      </x:c>
      <x:c r="B17" s="3">
        <x:v>21747</x:v>
      </x:c>
      <x:c r="C17" s="3">
        <x:v>19500</x:v>
      </x:c>
      <x:c r="D17" s="3">
        <x:v>19304</x:v>
      </x:c>
      <x:c r="E17" s="3">
        <x:v>20799</x:v>
      </x:c>
      <x:c r="F17" s="3">
        <x:v>21230</x:v>
      </x:c>
    </x:row>
    <x:row r="18">
      <x:c r="A18" s="2" t="s">
        <x:v>41</x:v>
      </x:c>
      <x:c r="B18" s="3">
        <x:v>13549</x:v>
      </x:c>
      <x:c r="C18" s="3">
        <x:v>16009</x:v>
      </x:c>
      <x:c r="D18" s="3">
        <x:v>14922</x:v>
      </x:c>
      <x:c r="E18" s="3">
        <x:v>14304</x:v>
      </x:c>
      <x:c r="F18" s="3">
        <x:v>14326</x:v>
      </x:c>
    </x:row>
    <x:row r="19">
      <x:c r="A19" s="2" t="s">
        <x:v>42</x:v>
      </x:c>
      <x:c r="B19" s="3">
        <x:v>2493</x:v>
      </x:c>
      <x:c r="C19" s="3">
        <x:v>2638</x:v>
      </x:c>
      <x:c r="D19" s="3">
        <x:v>3279</x:v>
      </x:c>
      <x:c r="E19" s="3">
        <x:v>3582</x:v>
      </x:c>
      <x:c r="F19" s="3">
        <x:v>3462</x:v>
      </x:c>
    </x:row>
    <x:row r="20">
      <x:c r="A20" s="2" t="s">
        <x:v>43</x:v>
      </x:c>
      <x:c r="B20" s="3">
        <x:v>1566</x:v>
      </x:c>
      <x:c r="C20" s="3">
        <x:v>2196</x:v>
      </x:c>
      <x:c r="D20" s="3">
        <x:v>2480</x:v>
      </x:c>
      <x:c r="E20" s="3">
        <x:v>2303</x:v>
      </x:c>
      <x:c r="F20" s="3">
        <x:v>2265</x:v>
      </x:c>
    </x:row>
    <x:row r="21">
      <x:c r="A21" s="2" t="s">
        <x:v>44</x:v>
      </x:c>
      <x:c r="B21" s="3">
        <x:v>1629</x:v>
      </x:c>
      <x:c r="C21" s="3">
        <x:v>1760</x:v>
      </x:c>
      <x:c r="D21" s="3">
        <x:v>1939</x:v>
      </x:c>
      <x:c r="E21" s="3">
        <x:v>2115</x:v>
      </x:c>
      <x:c r="F21" s="3">
        <x:v>2042</x:v>
      </x:c>
    </x:row>
    <x:row r="22">
      <x:c r="A22" s="2" t="s">
        <x:v>45</x:v>
      </x:c>
      <x:c r="B22" s="3">
        <x:v>19237</x:v>
      </x:c>
      <x:c r="C22" s="3">
        <x:v>22603</x:v>
      </x:c>
      <x:c r="D22" s="3">
        <x:v>22620</x:v>
      </x:c>
      <x:c r="E22" s="3">
        <x:v>22304</x:v>
      </x:c>
      <x:c r="F22" s="3">
        <x:v>22095</x:v>
      </x:c>
    </x:row>
    <x:row r="23">
      <x:c r="A23" s="2" t="s">
        <x:v>46</x:v>
      </x:c>
      <x:c r="B23" s="3">
        <x:v>39</x:v>
      </x:c>
      <x:c r="C23" s="3">
        <x:v>38</x:v>
      </x:c>
      <x:c r="D23" s="3">
        <x:v>38</x:v>
      </x:c>
      <x:c r="E23" s="3">
        <x:v>38</x:v>
      </x:c>
      <x:c r="F23" s="3">
        <x:v>38</x:v>
      </x:c>
    </x:row>
    <x:row r="24">
      <x:c r="A24" s="2" t="s">
        <x:v>47</x:v>
      </x:c>
      <x:c r="B24" s="3">
        <x:v>6421</x:v>
      </x:c>
      <x:c r="C24" s="3">
        <x:v>6608</x:v>
      </x:c>
      <x:c r="D24" s="3">
        <x:v>6761</x:v>
      </x:c>
      <x:c r="E24" s="3">
        <x:v>6996</x:v>
      </x:c>
      <x:c r="F24" s="3">
        <x:v>7247</x:v>
      </x:c>
    </x:row>
    <x:row r="25">
      <x:c r="A25" s="2" t="s">
        <x:v>48</x:v>
      </x:c>
      <x:c r="B25" s="3">
        <x:v>6920</x:v>
      </x:c>
      <x:c r="C25" s="3">
        <x:v>5005</x:v>
      </x:c>
      <x:c r="D25" s="3">
        <x:v>7093</x:v>
      </x:c>
      <x:c r="E25" s="3">
        <x:v>8090</x:v>
      </x:c>
      <x:c r="F25" s="3">
        <x:v>9297</x:v>
      </x:c>
    </x:row>
    <x:row r="26">
      <x:c r="A26" s="2" t="s">
        <x:v>49</x:v>
      </x:c>
      <x:c r="B26" s="3">
        <x:v>-553</x:v>
      </x:c>
      <x:c r="C26" s="3">
        <x:v>-419</x:v>
      </x:c>
      <x:c r="D26" s="3">
        <x:v>-460</x:v>
      </x:c>
      <x:c r="E26" s="3">
        <x:v>-458</x:v>
      </x:c>
      <x:c r="F26" s="3">
        <x:v>-417</x:v>
      </x:c>
    </x:row>
    <x:row r="27">
      <x:c r="A27" s="2" t="s">
        <x:v>50</x:v>
      </x:c>
      <x:c r="B27" s="3">
        <x:v>12827</x:v>
      </x:c>
      <x:c r="C27" s="3">
        <x:v>11232</x:v>
      </x:c>
      <x:c r="D27" s="3">
        <x:v>13432</x:v>
      </x:c>
      <x:c r="E27" s="3">
        <x:v>14666</x:v>
      </x:c>
      <x:c r="F27" s="3">
        <x:v>16165</x:v>
      </x:c>
    </x:row>
    <x:row r="28">
      <x:c r="A28" s="2" t="s">
        <x:v>51</x:v>
      </x:c>
      <x:c r="B28" s="3">
        <x:v>53811</x:v>
      </x:c>
      <x:c r="C28" s="3">
        <x:v>53335</x:v>
      </x:c>
      <x:c r="D28" s="3">
        <x:v>55356</x:v>
      </x:c>
      <x:c r="E28" s="3">
        <x:v>57769</x:v>
      </x:c>
      <x:c r="F28" s="3">
        <x:v>59490</x:v>
      </x:c>
    </x:row>
    <x:row r="29">
      <x:c r="A29" s="2" t="s">
        <x:v>52</x:v>
      </x:c>
      <x:c r="B29" s="3" t="n">
        <x:f>ROUND(B13-B28,6)</x:f>
        <x:v>0</x:v>
      </x:c>
      <x:c r="C29" s="3" t="n">
        <x:f>ROUND(C13-C28,6)</x:f>
        <x:v>0</x:v>
      </x:c>
      <x:c r="D29" s="3" t="n">
        <x:f>ROUND(D13-D28,6)</x:f>
        <x:v>0</x:v>
      </x:c>
      <x:c r="E29" s="3" t="n">
        <x:f>ROUND(E13-E28,6)</x:f>
        <x:v>0</x:v>
      </x:c>
      <x:c r="F29" s="3" t="n">
        <x:f>ROUND(F13-F28,6)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42" customWidth="1"/>
    <x:col min="2" max="6" width="14" customWidth="1"/>
  </x:cols>
  <x:sheetData>
    <x:row r="1" ht="24" customHeight="1">
      <x:c r="A1" s="8" t="s">
        <x:v>53</x:v>
      </x:c>
      <x:c r="B1" s="8"/>
      <x:c r="C1" s="8"/>
      <x:c r="D1" s="8"/>
      <x:c r="E1" s="8"/>
      <x:c r="F1" s="8"/>
    </x:row>
    <x:row r="2">
      <x:c r="A2" s="7" t="s">
        <x:v>1</x:v>
      </x:c>
      <x:c r="B2" s="7"/>
      <x:c r="C2" s="7"/>
      <x:c r="D2" s="7"/>
      <x:c r="E2" s="7"/>
      <x:c r="F2" s="7"/>
    </x:row>
    <x:row r="4">
      <x:c r="A4" s="1"/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</x:row>
    <x:row r="5">
      <x:c r="A5" s="2"/>
      <x:c r="B5" s="3"/>
      <x:c r="C5" s="3"/>
      <x:c r="D5" s="3"/>
      <x:c r="E5" s="3"/>
      <x:c r="F5" s="3"/>
    </x:row>
    <x:row r="6">
      <x:c r="A6" s="2" t="s">
        <x:v>22</x:v>
      </x:c>
      <x:c r="B6" s="3">
        <x:v>6946</x:v>
      </x:c>
      <x:c r="C6" s="3">
        <x:v>2780</x:v>
      </x:c>
      <x:c r="D6" s="3">
        <x:v>4138</x:v>
      </x:c>
      <x:c r="E6" s="3">
        <x:v>4091</x:v>
      </x:c>
      <x:c r="F6" s="3">
        <x:v>3705</x:v>
      </x:c>
    </x:row>
    <x:row r="7">
      <x:c r="A7" s="2" t="s">
        <x:v>54</x:v>
      </x:c>
      <x:c r="B7" s="3">
        <x:v>2642</x:v>
      </x:c>
      <x:c r="C7" s="3">
        <x:v>2700</x:v>
      </x:c>
      <x:c r="D7" s="3">
        <x:v>2801</x:v>
      </x:c>
      <x:c r="E7" s="3">
        <x:v>2981</x:v>
      </x:c>
      <x:c r="F7" s="3">
        <x:v>3134</x:v>
      </x:c>
    </x:row>
    <x:row r="8">
      <x:c r="A8" s="2" t="s">
        <x:v>55</x:v>
      </x:c>
      <x:c r="B8" s="3">
        <x:v>228</x:v>
      </x:c>
      <x:c r="C8" s="3">
        <x:v>220</x:v>
      </x:c>
      <x:c r="D8" s="3">
        <x:v>251</x:v>
      </x:c>
      <x:c r="E8" s="3">
        <x:v>304</x:v>
      </x:c>
      <x:c r="F8" s="3">
        <x:v>281</x:v>
      </x:c>
    </x:row>
    <x:row r="9">
      <x:c r="A9" s="2" t="s">
        <x:v>43</x:v>
      </x:c>
      <x:c r="B9" s="3">
        <x:v>522</x:v>
      </x:c>
      <x:c r="C9" s="3">
        <x:v>582</x:v>
      </x:c>
      <x:c r="D9" s="3">
        <x:v>298</x:v>
      </x:c>
      <x:c r="E9" s="3">
        <x:v>-180</x:v>
      </x:c>
      <x:c r="F9" s="3">
        <x:v>-55</x:v>
      </x:c>
    </x:row>
    <x:row r="10">
      <x:c r="A10" s="2" t="s">
        <x:v>56</x:v>
      </x:c>
      <x:c r="B10" s="3">
        <x:v>-335</x:v>
      </x:c>
      <x:c r="C10" s="3">
        <x:v>0</x:v>
      </x:c>
      <x:c r="D10" s="3">
        <x:v>0</x:v>
      </x:c>
      <x:c r="E10" s="3">
        <x:v>0</x:v>
      </x:c>
      <x:c r="F10" s="3">
        <x:v>0</x:v>
      </x:c>
    </x:row>
    <x:row r="11">
      <x:c r="A11" s="2" t="s">
        <x:v>57</x:v>
      </x:c>
      <x:c r="B11" s="3">
        <x:v>67</x:v>
      </x:c>
      <x:c r="C11" s="3">
        <x:v>172</x:v>
      </x:c>
      <x:c r="D11" s="3">
        <x:v>94</x:v>
      </x:c>
      <x:c r="E11" s="3">
        <x:v>26</x:v>
      </x:c>
      <x:c r="F11" s="3">
        <x:v>-100</x:v>
      </x:c>
    </x:row>
    <x:row r="12">
      <x:c r="A12" s="2" t="s">
        <x:v>58</x:v>
      </x:c>
      <x:c r="B12" s="3">
        <x:v>-3249</x:v>
      </x:c>
      <x:c r="C12" s="3">
        <x:v>403</x:v>
      </x:c>
      <x:c r="D12" s="3">
        <x:v>1613</x:v>
      </x:c>
      <x:c r="E12" s="3">
        <x:v>-854</x:v>
      </x:c>
      <x:c r="F12" s="3">
        <x:v>436</x:v>
      </x:c>
    </x:row>
    <x:row r="13">
      <x:c r="A13" s="2" t="s">
        <x:v>59</x:v>
      </x:c>
      <x:c r="B13" s="3">
        <x:v>-78</x:v>
      </x:c>
      <x:c r="C13" s="3">
        <x:v>22</x:v>
      </x:c>
      <x:c r="D13" s="3">
        <x:v>-85</x:v>
      </x:c>
      <x:c r="E13" s="3">
        <x:v>-308</x:v>
      </x:c>
      <x:c r="F13" s="3">
        <x:v>-494</x:v>
      </x:c>
    </x:row>
    <x:row r="14">
      <x:c r="A14" s="2" t="s">
        <x:v>60</x:v>
      </x:c>
      <x:c r="B14" s="3">
        <x:v>2628</x:v>
      </x:c>
      <x:c r="C14" s="3">
        <x:v>-2237</x:v>
      </x:c>
      <x:c r="D14" s="3">
        <x:v>-1216</x:v>
      </x:c>
      <x:c r="E14" s="3">
        <x:v>1008</x:v>
      </x:c>
      <x:c r="F14" s="3">
        <x:v>-501</x:v>
      </x:c>
    </x:row>
    <x:row r="15">
      <x:c r="A15" s="2" t="s">
        <x:v>61</x:v>
      </x:c>
      <x:c r="B15" s="3">
        <x:v>-746</x:v>
      </x:c>
      <x:c r="C15" s="3">
        <x:v>-624</x:v>
      </x:c>
      <x:c r="D15" s="3">
        <x:v>727</x:v>
      </x:c>
      <x:c r="E15" s="3">
        <x:v>299</x:v>
      </x:c>
      <x:c r="F15" s="3">
        <x:v>156</x:v>
      </x:c>
    </x:row>
    <x:row r="16">
      <x:c r="A16" s="2" t="s">
        <x:v>62</x:v>
      </x:c>
      <x:c r="B16" s="3">
        <x:v>8625</x:v>
      </x:c>
      <x:c r="C16" s="3">
        <x:v>4018</x:v>
      </x:c>
      <x:c r="D16" s="3">
        <x:v>8621</x:v>
      </x:c>
      <x:c r="E16" s="3">
        <x:v>7367</x:v>
      </x:c>
      <x:c r="F16" s="3">
        <x:v>6562</x:v>
      </x:c>
    </x:row>
    <x:row r="17">
      <x:c r="A17" s="2" t="s">
        <x:v>63</x:v>
      </x:c>
      <x:c r="B17" s="3">
        <x:v>-3544</x:v>
      </x:c>
      <x:c r="C17" s="3">
        <x:v>-5528</x:v>
      </x:c>
      <x:c r="D17" s="3">
        <x:v>-4806</x:v>
      </x:c>
      <x:c r="E17" s="3">
        <x:v>-2891</x:v>
      </x:c>
      <x:c r="F17" s="3">
        <x:v>-3727</x:v>
      </x:c>
    </x:row>
    <x:row r="18">
      <x:c r="A18" s="2" t="s">
        <x:v>64</x:v>
      </x:c>
      <x:c r="B18" s="3">
        <x:v>27</x:v>
      </x:c>
      <x:c r="C18" s="3">
        <x:v>8</x:v>
      </x:c>
      <x:c r="D18" s="3">
        <x:v>0</x:v>
      </x:c>
      <x:c r="E18" s="3">
        <x:v>0</x:v>
      </x:c>
      <x:c r="F18" s="3">
        <x:v>0</x:v>
      </x:c>
    </x:row>
    <x:row r="19">
      <x:c r="A19" s="2" t="s">
        <x:v>65</x:v>
      </x:c>
      <x:c r="B19" s="3">
        <x:v>356</x:v>
      </x:c>
      <x:c r="C19" s="3">
        <x:v>0</x:v>
      </x:c>
      <x:c r="D19" s="3">
        <x:v>0</x:v>
      </x:c>
      <x:c r="E19" s="3">
        <x:v>0</x:v>
      </x:c>
      <x:c r="F19" s="3">
        <x:v>0</x:v>
      </x:c>
    </x:row>
    <x:row r="20">
      <x:c r="A20" s="2" t="s">
        <x:v>66</x:v>
      </x:c>
      <x:c r="B20" s="3">
        <x:v>0</x:v>
      </x:c>
      <x:c r="C20" s="3">
        <x:v>0</x:v>
      </x:c>
      <x:c r="D20" s="3">
        <x:v>0</x:v>
      </x:c>
      <x:c r="E20" s="3">
        <x:v>0</x:v>
      </x:c>
      <x:c r="F20" s="3">
        <x:v>0</x:v>
      </x:c>
    </x:row>
    <x:row r="21">
      <x:c r="A21" s="2" t="s">
        <x:v>67</x:v>
      </x:c>
      <x:c r="B21" s="3">
        <x:v>7</x:v>
      </x:c>
      <x:c r="C21" s="3">
        <x:v>16</x:v>
      </x:c>
      <x:c r="D21" s="3">
        <x:v>46</x:v>
      </x:c>
      <x:c r="E21" s="3">
        <x:v>31</x:v>
      </x:c>
      <x:c r="F21" s="3">
        <x:v>78</x:v>
      </x:c>
    </x:row>
    <x:row r="22">
      <x:c r="A22" s="2" t="s">
        <x:v>68</x:v>
      </x:c>
      <x:c r="B22" s="3">
        <x:v>-3154</x:v>
      </x:c>
      <x:c r="C22" s="3">
        <x:v>-5504</x:v>
      </x:c>
      <x:c r="D22" s="3">
        <x:v>-4760</x:v>
      </x:c>
      <x:c r="E22" s="3">
        <x:v>-2860</x:v>
      </x:c>
      <x:c r="F22" s="3">
        <x:v>-3649</x:v>
      </x:c>
    </x:row>
    <x:row r="23">
      <x:c r="A23" s="2" t="s">
        <x:v>69</x:v>
      </x:c>
      <x:c r="B23" s="3">
        <x:v>1972</x:v>
      </x:c>
      <x:c r="C23" s="3">
        <x:v>2625</x:v>
      </x:c>
      <x:c r="D23" s="3">
        <x:v>0</x:v>
      </x:c>
      <x:c r="E23" s="3">
        <x:v>741</x:v>
      </x:c>
      <x:c r="F23" s="3">
        <x:v>1984</x:v>
      </x:c>
    </x:row>
    <x:row r="24">
      <x:c r="A24" s="2" t="s">
        <x:v>70</x:v>
      </x:c>
      <x:c r="B24" s="3">
        <x:v>-1147</x:v>
      </x:c>
      <x:c r="C24" s="3">
        <x:v>-163</x:v>
      </x:c>
      <x:c r="D24" s="3">
        <x:v>-147</x:v>
      </x:c>
      <x:c r="E24" s="3">
        <x:v>-1139</x:v>
      </x:c>
      <x:c r="F24" s="3">
        <x:v>-1643</x:v>
      </x:c>
    </x:row>
    <x:row r="25">
      <x:c r="A25" s="2" t="s">
        <x:v>71</x:v>
      </x:c>
      <x:c r="B25" s="3">
        <x:v>-1548</x:v>
      </x:c>
      <x:c r="C25" s="3">
        <x:v>-1836</x:v>
      </x:c>
      <x:c r="D25" s="3">
        <x:v>-2011</x:v>
      </x:c>
      <x:c r="E25" s="3">
        <x:v>-2046</x:v>
      </x:c>
      <x:c r="F25" s="3">
        <x:v>-2053</x:v>
      </x:c>
    </x:row>
    <x:row r="26">
      <x:c r="A26" s="2" t="s">
        <x:v>72</x:v>
      </x:c>
      <x:c r="B26" s="3">
        <x:v>-7356</x:v>
      </x:c>
      <x:c r="C26" s="3">
        <x:v>-2826</x:v>
      </x:c>
      <x:c r="D26" s="3">
        <x:v>0</x:v>
      </x:c>
      <x:c r="E26" s="3">
        <x:v>-1007</x:v>
      </x:c>
      <x:c r="F26" s="3">
        <x:v>-408</x:v>
      </x:c>
    </x:row>
    <x:row r="27">
      <x:c r="A27" s="2" t="s">
        <x:v>73</x:v>
      </x:c>
      <x:c r="B27" s="3">
        <x:v>8</x:v>
      </x:c>
      <x:c r="C27" s="3">
        <x:v>4</x:v>
      </x:c>
      <x:c r="D27" s="3">
        <x:v>-127</x:v>
      </x:c>
      <x:c r="E27" s="3">
        <x:v>-99</x:v>
      </x:c>
      <x:c r="F27" s="3">
        <x:v>-67</x:v>
      </x:c>
    </x:row>
    <x:row r="28">
      <x:c r="A28" s="2" t="s">
        <x:v>74</x:v>
      </x:c>
      <x:c r="B28" s="3">
        <x:v>-8071</x:v>
      </x:c>
      <x:c r="C28" s="3">
        <x:v>-2196</x:v>
      </x:c>
      <x:c r="D28" s="3">
        <x:v>-2285</x:v>
      </x:c>
      <x:c r="E28" s="3">
        <x:v>-3550</x:v>
      </x:c>
      <x:c r="F28" s="3">
        <x:v>-2187</x:v>
      </x:c>
    </x:row>
    <x:row r="29">
      <x:c r="A29" s="2" t="s">
        <x:v>75</x:v>
      </x:c>
      <x:c r="B29" s="3">
        <x:v>-2600</x:v>
      </x:c>
      <x:c r="C29" s="3">
        <x:v>-3682</x:v>
      </x:c>
      <x:c r="D29" s="3">
        <x:v>1576</x:v>
      </x:c>
      <x:c r="E29" s="3">
        <x:v>957</x:v>
      </x:c>
      <x:c r="F29" s="3">
        <x:v>726</x:v>
      </x:c>
    </x:row>
    <x:row r="30">
      <x:c r="A30" s="2" t="s">
        <x:v>76</x:v>
      </x:c>
      <x:c r="B30" s="3">
        <x:v>8511</x:v>
      </x:c>
      <x:c r="C30" s="3">
        <x:v>5911</x:v>
      </x:c>
      <x:c r="D30" s="3">
        <x:v>2229</x:v>
      </x:c>
      <x:c r="E30" s="3">
        <x:v>3805</x:v>
      </x:c>
      <x:c r="F30" s="3">
        <x:v>4762</x:v>
      </x:c>
    </x:row>
    <x:row r="31">
      <x:c r="A31" s="2" t="s">
        <x:v>77</x:v>
      </x:c>
      <x:c r="B31" s="3">
        <x:v>5911</x:v>
      </x:c>
      <x:c r="C31" s="3">
        <x:v>2229</x:v>
      </x:c>
      <x:c r="D31" s="3">
        <x:v>3805</x:v>
      </x:c>
      <x:c r="E31" s="3">
        <x:v>4762</x:v>
      </x:c>
      <x:c r="F31" s="3">
        <x:v>5488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3" width="28" customWidth="1"/>
    <x:col min="4" max="4" width="64" customWidth="1"/>
  </x:cols>
  <x:sheetData>
    <x:row r="1" ht="16">
      <x:c r="A1" s="9" t="s">
        <x:v>78</x:v>
      </x:c>
      <x:c r="B1" s="9" t="s">
        <x:v>79</x:v>
      </x:c>
      <x:c r="C1" s="9" t="s">
        <x:v>80</x:v>
      </x:c>
      <x:c r="D1" s="9" t="s">
        <x:v>81</x:v>
      </x:c>
    </x:row>
    <x:row r="2" ht="32">
      <x:c r="A2" s="6" t="s">
        <x:v>82</x:v>
      </x:c>
      <x:c r="B2" s="6" t="s">
        <x:v>83</x:v>
      </x:c>
      <x:c r="C2" s="6" t="s">
        <x:v>84</x:v>
      </x:c>
      <x:c r="D2" s="6" t="s">
        <x:v>85</x:v>
      </x:c>
    </x:row>
    <x:row r="3" ht="32">
      <x:c r="A3" s="6" t="str">
        <x:v>FY2022 presentation reclassification</x:v>
      </x:c>
      <x:c r="B3" s="6" t="str">
        <x:v>FY2022</x:v>
      </x:c>
      <x:c r="C3" s="6" t="str">
        <x:v>Target 2024 Form 10-K, filed March 12, 2025</x:v>
      </x:c>
      <x:c r="D3" s="6" t="str">
        <x:v>Cost of sales increased by $77m and SG&amp;A decreased by $77m versus the original FY2022 presentation; operating income was unchanged.</x:v>
      </x:c>
    </x:row>
    <x:row r="4" ht="32">
      <x:c r="A4" s="6" t="s">
        <x:v>86</x:v>
      </x:c>
      <x:c r="B4" s="6" t="s">
        <x:v>87</x:v>
      </x:c>
      <x:c r="C4" s="6" t="s">
        <x:v>88</x:v>
      </x:c>
      <x:c r="D4" s="6" t="s">
        <x:v>89</x:v>
      </x:c>
    </x:row>
    <x:row r="5" ht="16">
      <x:c r="A5" s="6" t="s">
        <x:v>90</x:v>
      </x:c>
      <x:c r="B5" s="6" t="s">
        <x:v>83</x:v>
      </x:c>
      <x:c r="C5" s="6" t="s">
        <x:v>91</x:v>
      </x:c>
      <x:c r="D5" s="6" t="s">
        <x:v>92</x:v>
      </x:c>
    </x:row>
    <x:row r="6" ht="16">
      <x:c r="A6" s="6" t="s">
        <x:v>93</x:v>
      </x:c>
      <x:c r="B6" s="6" t="s">
        <x:v>94</x:v>
      </x:c>
      <x:c r="C6" s="6" t="s">
        <x:v>95</x:v>
      </x:c>
      <x:c r="D6" s="6" t="s">
        <x:v>96</x:v>
      </x:c>
    </x:row>
    <x:row r="7">
      <x:c r="A7" t="str">
        <x:v>Primary filing URL</x:v>
      </x:c>
      <x:c r="B7" t="str">
        <x:v>FY2025</x:v>
      </x:c>
      <x:c r="C7" t="str">
        <x:v>https://www.sec.gov/Archives/edgar/data/27419/000002741926000016/tgt-20260131.htm</x:v>
      </x:c>
      <x:c r="D7" t="str">
        <x:v>Latest historical year</x:v>
      </x:c>
    </x:row>
    <x:row r="8">
      <x:c r="A8" t="str">
        <x:v>Reclassification source URL</x:v>
      </x:c>
      <x:c r="B8" t="str">
        <x:v>FY2022-FY2023</x:v>
      </x:c>
      <x:c r="C8" t="str">
        <x:v>https://corporate.target.com/investors/annual/2024-annual-report/10-k-report/10-k-part-ii/item-8-financial-statements-and-supplementary-data</x:v>
      </x:c>
      <x:c r="D8" t="str">
        <x:v>Comparable presentation support</x:v>
      </x:c>
    </x:row>
  </x:sheetData>
  <x:pageMargins left="0.7" right="0.7" top="0.75" bottom="0.75" header="0.3" footer="0.3"/>
</x:worksheet>
</file>