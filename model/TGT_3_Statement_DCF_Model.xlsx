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cfa7ae7ed949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11fa8445ffb8448c"/>
    <x:sheet xmlns:r="http://schemas.openxmlformats.org/officeDocument/2006/relationships" name="Assumptions" sheetId="2" r:id="R637a06eb574445cb"/>
    <x:sheet xmlns:r="http://schemas.openxmlformats.org/officeDocument/2006/relationships" name="Income Statement" sheetId="3" r:id="R956f2654b0de416f"/>
    <x:sheet xmlns:r="http://schemas.openxmlformats.org/officeDocument/2006/relationships" name="Balance Sheet" sheetId="4" r:id="R8fdc21043dc74a10"/>
    <x:sheet xmlns:r="http://schemas.openxmlformats.org/officeDocument/2006/relationships" name="Cash Flow Statement" sheetId="5" r:id="Rd84846f1b21c4b0c"/>
    <x:sheet xmlns:r="http://schemas.openxmlformats.org/officeDocument/2006/relationships" name="WACC" sheetId="6" r:id="R42b22dfd87f0494c"/>
    <x:sheet xmlns:r="http://schemas.openxmlformats.org/officeDocument/2006/relationships" name="DCF Valuation" sheetId="7" r:id="R9d1938057a1448e0"/>
    <x:sheet xmlns:r="http://schemas.openxmlformats.org/officeDocument/2006/relationships" name="Sensitivity" sheetId="8" r:id="R20a2552f884e4bea"/>
    <x:sheet xmlns:r="http://schemas.openxmlformats.org/officeDocument/2006/relationships" name="Trading Comps" sheetId="9" r:id="Ra5ad81ce234f4451"/>
  </x:sheets>
</x:workbook>
</file>

<file path=xl/comments1.xml><?xml version="1.0" encoding="utf-8"?>
<x:comments xmlns:x="http://schemas.openxmlformats.org/spreadsheetml/2006/main">
  <x:authors>
    <x:author>tc={8584E62E-DCDE-D8EB-72CF-34E9CA7D6E15}</x:author>
    <x:author>tc={EAE8E2A1-06C4-9D67-6FA0-801351A8216C}</x:author>
    <x:author>tc={7A507D35-6CAC-42D3-91E3-364AB77DC1B4}</x:author>
    <x:author>tc={8D18D49C-B91F-2812-3D7E-5911D73BC2E6}</x:author>
    <x:author>tc={74D20B19-D085-3C93-F047-F10977AE3F03}</x:author>
  </x:authors>
  <x:commentList>
    <x:comment ref="B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Target 2021 Form 10-K, filed March 9, 2022, SEC EDGAR.</x:t>
        </x:r>
      </x:text>
    </x:comment>
    <x:comment ref="C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Target 2022 Form 10-K, filed March 8, 2023, SEC EDGAR.</x:t>
        </x:r>
      </x:text>
    </x:comment>
    <x:comment ref="D6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Target 2023 Form 10-K, filed March 13, 2024, SEC EDGAR: https://www.sec.gov/Archives/edgar/data/27419/000002741924000032/tgt-20240203.htm</x:t>
        </x:r>
      </x:text>
    </x:comment>
    <x:comment ref="E6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Target 2024 Form 10-K, filed March 12, 2025, SEC EDGAR.</x:t>
        </x:r>
      </x:text>
    </x:comment>
    <x:comment ref="F6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Target 2025 Form 10-K, filed March 11, 2026, SEC EDGAR.</x:t>
        </x:r>
      </x:text>
    </x:comment>
  </x:commentList>
</x:comments>
</file>

<file path=xl/comments2.xml><?xml version="1.0" encoding="utf-8"?>
<x:comments xmlns:x="http://schemas.openxmlformats.org/spreadsheetml/2006/main">
  <x:authors>
    <x:author>tc={5E2CB887-6F38-BE06-3B98-24ADF20398E1}</x:author>
    <x:author>tc={75C7A6B2-F89B-410F-925C-B2B698D8E3DA}</x:author>
    <x:author>tc={CC1BAD50-EB0A-0536-3FC5-DD6503EAC8E5}</x:author>
    <x:author>tc={4D263D90-DD39-E4C7-44EC-F74B2C29B855}</x:author>
    <x:author>tc={D8DC9A7E-E9AC-4530-60C3-D03DF4901632}</x:author>
  </x:authors>
  <x:commentList>
    <x:comment ref="B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Target 2021 Form 10-K, filed March 9, 2022, SEC EDGAR.</x:t>
        </x:r>
      </x:text>
    </x:comment>
    <x:comment ref="C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Target 2022 Form 10-K, filed March 8, 2023, SEC EDGAR.</x:t>
        </x:r>
      </x:text>
    </x:comment>
    <x:comment ref="D6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Target 2023 Form 10-K, filed March 13, 2024, SEC EDGAR: https://www.sec.gov/Archives/edgar/data/27419/000002741924000032/tgt-20240203.htm</x:t>
        </x:r>
      </x:text>
    </x:comment>
    <x:comment ref="E6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Target 2024 Form 10-K, filed March 12, 2025, SEC EDGAR.</x:t>
        </x:r>
      </x:text>
    </x:comment>
    <x:comment ref="F6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Target 2025 Form 10-K, filed March 11, 2026, SEC EDGAR.</x:t>
        </x:r>
      </x:text>
    </x:comment>
  </x:commentList>
</x:comments>
</file>

<file path=xl/comments3.xml><?xml version="1.0" encoding="utf-8"?>
<x:comments xmlns:x="http://schemas.openxmlformats.org/spreadsheetml/2006/main">
  <x:authors>
    <x:author>tc={03B57474-1757-207D-41F8-3CBE489CBAAE}</x:author>
    <x:author>tc={1ED385BB-04D1-20C0-23E6-E81C6665D129}</x:author>
    <x:author>tc={48A21EAB-A857-5CE0-5FFF-8A345DF5131C}</x:author>
    <x:author>tc={31408C6E-8A15-8303-465B-1A65C29ACBE7}</x:author>
    <x:author>tc={C45CF1BB-F06F-96C8-9D92-C8FF19512E24}</x:author>
  </x:authors>
  <x:commentList>
    <x:comment ref="B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Target 2021 Form 10-K, filed March 9, 2022, SEC EDGAR.</x:t>
        </x:r>
      </x:text>
    </x:comment>
    <x:comment ref="C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Target 2022 Form 10-K, filed March 8, 2023, SEC EDGAR.</x:t>
        </x:r>
      </x:text>
    </x:comment>
    <x:comment ref="D6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Target 2023 Form 10-K, filed March 13, 2024, SEC EDGAR: https://www.sec.gov/Archives/edgar/data/27419/000002741924000032/tgt-20240203.htm</x:t>
        </x:r>
      </x:text>
    </x:comment>
    <x:comment ref="E6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Target 2024 Form 10-K, filed March 12, 2025, SEC EDGAR.</x:t>
        </x:r>
      </x:text>
    </x:comment>
    <x:comment ref="F6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Target 2025 Form 10-K, filed March 11, 2026, SEC EDGAR.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<x:sst xmlns:x="http://schemas.openxmlformats.org/spreadsheetml/2006/main">
  <x:si>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TARGET CORPORATION</x:t>
  </x:si>
  <x:si>
    <x:t xml:space="preserve">Full 3-Statement Model + DCF Valuation</x:t>
  </x:si>
  <x:si>
    <x:t xml:space="preserve">Purpose</x:t>
  </x:si>
  <x:si>
    <x:t xml:space="preserve">Full 3-statement model and DCF valuation of Target Corporation's equity value</x:t>
  </x:si>
  <x:si>
    <x:t xml:space="preserve">Prepared by</x:t>
  </x:si>
  <x:si>
    <x:t xml:space="preserve">Ria Keshkamat</x:t>
  </x:si>
  <x:si>
    <x:t xml:space="preserve">Model date</x:t>
  </x:si>
  <x:si>
    <x:t xml:space="preserve">July 14, 2026</x:t>
  </x:si>
  <x:si>
    <x:t xml:space="preserve">Valuation date</x:t>
  </x:si>
  <x:si>
    <x:t xml:space="preserve">July 2, 2026</x:t>
  </x:si>
  <x:si>
    <x:t xml:space="preserve">Units</x:t>
  </x:si>
  <x:si>
    <x:t xml:space="preserve">$ millions, except per-share data</x:t>
  </x:si>
  <x:si>
    <x:t xml:space="preserve">Case</x:t>
  </x:si>
  <x:si>
    <x:t xml:space="preserve">Base case</x:t>
  </x:si>
  <x:si>
    <x:t xml:space="preserve">Data sources</x:t>
  </x:si>
  <x:si>
    <x:t xml:space="preserve">Target Corporation Forms 10-K (FY2021–FY2025), SEC EDGAR; U.S. Treasury; Yahoo Finance / StockAnalysis.com</x:t>
  </x:si>
  <x:si>
    <x:t xml:space="preserve">Model status</x:t>
  </x:si>
  <x:si>
    <x:t xml:space="preserve">All annual balance checks equal zero</x:t>
  </x:si>
  <x:si>
    <x:t xml:space="preserve">Target Corporation — Assumptions</x:t>
  </x:si>
  <x:si>
    <x:t xml:space="preserve">Blue font = input | Yellow fill = key flex assumption | FY2026E–FY2030E</x:t>
  </x:si>
  <x:si>
    <x:t xml:space="preserve">FY2021A</x:t>
  </x:si>
  <x:si>
    <x:t xml:space="preserve">FY2022A</x:t>
  </x:si>
  <x:si>
    <x:t xml:space="preserve">FY2023A</x:t>
  </x:si>
  <x:si>
    <x:t xml:space="preserve">FY2024A</x:t>
  </x:si>
  <x:si>
    <x:t xml:space="preserve">FY2025A</x:t>
  </x:si>
  <x:si>
    <x:t xml:space="preserve">FY2026E</x:t>
  </x:si>
  <x:si>
    <x:t xml:space="preserve">FY2027E</x:t>
  </x:si>
  <x:si>
    <x:t xml:space="preserve">FY2028E</x:t>
  </x:si>
  <x:si>
    <x:t xml:space="preserve">FY2029E</x:t>
  </x:si>
  <x:si>
    <x:t xml:space="preserve">FY2030E</x:t>
  </x:si>
  <x:si>
    <x:t xml:space="preserve">Operating Assumptions</x:t>
  </x:si>
  <x:si>
    <x:t xml:space="preserve">Revenue Growth %</x:t>
  </x:si>
  <x:si>
    <x:t xml:space="preserve">Gross Margin %</x:t>
  </x:si>
  <x:si>
    <x:t xml:space="preserve">SG&amp;A % of Revenue</x:t>
  </x:si>
  <x:si>
    <x:t xml:space="preserve">Capex % of Revenue</x:t>
  </x:si>
  <x:si>
    <x:t xml:space="preserve">Effective Tax Rate %</x:t>
  </x:si>
  <x:si>
    <x:t xml:space="preserve">Working Capital &amp; Other Drivers</x:t>
  </x:si>
  <x:si>
    <x:t xml:space="preserve">Inventory as % of COGS</x:t>
  </x:si>
  <x:si>
    <x:t xml:space="preserve">AP as % of COGS</x:t>
  </x:si>
  <x:si>
    <x:t xml:space="preserve">Other Current Assets % of Revenue</x:t>
  </x:si>
  <x:si>
    <x:t xml:space="preserve">Accrued Expenses % of Revenue</x:t>
  </x:si>
  <x:si>
    <x:t xml:space="preserve">Other LT Assets % of Revenue</x:t>
  </x:si>
  <x:si>
    <x:t xml:space="preserve">SBC % of Revenue</x:t>
  </x:si>
  <x:si>
    <x:t xml:space="preserve">Dividend Payout Ratio</x:t>
  </x:si>
  <x:si>
    <x:t xml:space="preserve">WACC Inputs</x:t>
  </x:si>
  <x:si>
    <x:t xml:space="preserve">Current Share Price</x:t>
  </x:si>
  <x:si>
    <x:t xml:space="preserve">NYSE close, July 2, 2026</x:t>
  </x:si>
  <x:si>
    <x:t xml:space="preserve">Beta</x:t>
  </x:si>
  <x:si>
    <x:t xml:space="preserve">Yahoo Finance / Google Finance, 5Y monthly</x:t>
  </x:si>
  <x:si>
    <x:t xml:space="preserve">Equity Risk Premium</x:t>
  </x:si>
  <x:si>
    <x:t xml:space="preserve">Long-run U.S. equity risk premium</x:t>
  </x:si>
  <x:si>
    <x:t xml:space="preserve">Terminal Value Assumptions</x:t>
  </x:si>
  <x:si>
    <x:t xml:space="preserve">Perpetuity Growth Rate</x:t>
  </x:si>
  <x:si>
    <x:t xml:space="preserve">Long-run GDP/inflation growth assumption</x:t>
  </x:si>
  <x:si>
    <x:t xml:space="preserve">Methodology Notes</x:t>
  </x:si>
  <x:si>
    <x:t xml:space="preserve">Target Corporation — Income Statement</x:t>
  </x:si>
  <x:si>
    <x:t xml:space="preserve">($ in millions, except per-share data)</x:t>
  </x:si>
  <x:si>
    <x:t xml:space="preserve">Net Sales</x:t>
  </x:si>
  <x:si>
    <x:t xml:space="preserve">Cost of Sales</x:t>
  </x:si>
  <x:si>
    <x:t xml:space="preserve">Gross Profit</x:t>
  </x:si>
  <x:si>
    <x:t xml:space="preserve">SG&amp;A</x:t>
  </x:si>
  <x:si>
    <x:t xml:space="preserve">D&amp;A (in Opex)</x:t>
  </x:si>
  <x:si>
    <x:t xml:space="preserve">Total Operating Expenses</x:t>
  </x:si>
  <x:si>
    <x:t xml:space="preserve">Operating Income</x:t>
  </x:si>
  <x:si>
    <x:t xml:space="preserve">Operating Margin %</x:t>
  </x:si>
  <x:si>
    <x:t xml:space="preserve">Net Interest Expense</x:t>
  </x:si>
  <x:si>
    <x:t xml:space="preserve">Net Other Income/(Expense)</x:t>
  </x:si>
  <x:si>
    <x:t xml:space="preserve">Earnings Before Income Taxes</x:t>
  </x:si>
  <x:si>
    <x:t xml:space="preserve">Provision for Income Taxes</x:t>
  </x:si>
  <x:si>
    <x:t xml:space="preserve">Net Earnings</x:t>
  </x:si>
  <x:si>
    <x:t xml:space="preserve">Net Margin %</x:t>
  </x:si>
  <x:si>
    <x:t xml:space="preserve">Weighted Avg Basic Shares</x:t>
  </x:si>
  <x:si>
    <x:t xml:space="preserve">Weighted Avg Diluted Shares</x:t>
  </x:si>
  <x:si>
    <x:t xml:space="preserve">Basic EPS</x:t>
  </x:si>
  <x:si>
    <x:t xml:space="preserve">Diluted EPS</x:t>
  </x:si>
  <x:si>
    <x:t xml:space="preserve">Target Corporation — Balance Sheet</x:t>
  </x:si>
  <x:si>
    <x:t xml:space="preserve">Cash &amp; Cash Equivalents</x:t>
  </x:si>
  <x:si>
    <x:t xml:space="preserve">Inventory</x:t>
  </x:si>
  <x:si>
    <x:t xml:space="preserve">Other Current Assets</x:t>
  </x:si>
  <x:si>
    <x:t xml:space="preserve">Total Current Assets</x:t>
  </x:si>
  <x:si>
    <x:t xml:space="preserve">Property &amp; Equipment, net</x:t>
  </x:si>
  <x:si>
    <x:t xml:space="preserve">Operating Lease Assets</x:t>
  </x:si>
  <x:si>
    <x:t xml:space="preserve">Other Noncurrent Assets</x:t>
  </x:si>
  <x:si>
    <x:t xml:space="preserve">Total Assets</x:t>
  </x:si>
  <x:si>
    <x:t xml:space="preserve">Accounts Payable</x:t>
  </x:si>
  <x:si>
    <x:t xml:space="preserve">Accrued &amp; Other Current Liabilities</x:t>
  </x:si>
  <x:si>
    <x:t xml:space="preserve">Current Portion of LT Debt</x:t>
  </x:si>
  <x:si>
    <x:t xml:space="preserve">Total Current Liabilities</x:t>
  </x:si>
  <x:si>
    <x:t xml:space="preserve">Long-Term Debt</x:t>
  </x:si>
  <x:si>
    <x:t xml:space="preserve">Noncurrent Operating Lease Liabilities</x:t>
  </x:si>
  <x:si>
    <x:t xml:space="preserve">Deferred Income Taxes</x:t>
  </x:si>
  <x:si>
    <x:t xml:space="preserve">Other Noncurrent Liabilities</x:t>
  </x:si>
  <x:si>
    <x:t xml:space="preserve">Total Noncurrent Liabilities</x:t>
  </x:si>
  <x:si>
    <x:t xml:space="preserve">Common Stock</x:t>
  </x:si>
  <x:si>
    <x:t xml:space="preserve">Additional Paid-in Capital</x:t>
  </x:si>
  <x:si>
    <x:t xml:space="preserve">Retained Earnings</x:t>
  </x:si>
  <x:si>
    <x:t xml:space="preserve">Accumulated Other Comprehensive Loss</x:t>
  </x:si>
  <x:si>
    <x:t xml:space="preserve">Total Shareholders’ Investment</x:t>
  </x:si>
  <x:si>
    <x:t xml:space="preserve">Total Liabilities &amp; Equity</x:t>
  </x:si>
  <x:si>
    <x:t xml:space="preserve">Balance Check</x:t>
  </x:si>
  <x:si>
    <x:t xml:space="preserve">Target Corporation — Cash Flow Statement</x:t>
  </x:si>
  <x:si>
    <x:t xml:space="preserve">D&amp;A (full, CFS basis)</x:t>
  </x:si>
  <x:si>
    <x:t xml:space="preserve">Share-Based Compensation</x:t>
  </x:si>
  <x:si>
    <x:t xml:space="preserve">Gain on Dermstore Sale</x:t>
  </x:si>
  <x:si>
    <x:t xml:space="preserve">Noncash (Gains)/Losses &amp; Other, net</x:t>
  </x:si>
  <x:si>
    <x:t xml:space="preserve">Changes in Inventory</x:t>
  </x:si>
  <x:si>
    <x:t xml:space="preserve">Changes in Other Current Assets</x:t>
  </x:si>
  <x:si>
    <x:t xml:space="preserve">Changes in Accounts Payable</x:t>
  </x:si>
  <x:si>
    <x:t xml:space="preserve">Changes in Accrued &amp; Other Liabilities</x:t>
  </x:si>
  <x:si>
    <x:t xml:space="preserve">Cash from Operating Activities</x:t>
  </x:si>
  <x:si>
    <x:t xml:space="preserve">Capital Expenditures</x:t>
  </x:si>
  <x:si>
    <x:t xml:space="preserve">Proceeds from Disposal of PP&amp;E</x:t>
  </x:si>
  <x:si>
    <x:t xml:space="preserve">Proceeds from Dermstore Sale</x:t>
  </x:si>
  <x:si>
    <x:t xml:space="preserve">Change in Other LT Assets / Other Investing</x:t>
  </x:si>
  <x:si>
    <x:t xml:space="preserve">Other Investing</x:t>
  </x:si>
  <x:si>
    <x:t xml:space="preserve">Cash used in Investing Activities</x:t>
  </x:si>
  <x:si>
    <x:t xml:space="preserve">Additions to Long-Term Debt</x:t>
  </x:si>
  <x:si>
    <x:t xml:space="preserve">Reductions of Long-Term Debt</x:t>
  </x:si>
  <x:si>
    <x:t xml:space="preserve">Dividends Paid</x:t>
  </x:si>
  <x:si>
    <x:t xml:space="preserve">Repurchase of Stock</x:t>
  </x:si>
  <x:si>
    <x:t xml:space="preserve">Stock Option Exercises / Shares Withheld</x:t>
  </x:si>
  <x:si>
    <x:t xml:space="preserve">Cash used in Financing Activities</x:t>
  </x:si>
  <x:si>
    <x:t xml:space="preserve">Net Change in Cash</x:t>
  </x:si>
  <x:si>
    <x:t xml:space="preserve">Beginning Cash</x:t>
  </x:si>
  <x:si>
    <x:t xml:space="preserve">Ending Cash</x:t>
  </x:si>
  <x:si>
    <x:t xml:space="preserve">Target Corporation — WACC</x:t>
  </x:si>
  <x:si>
    <x:t xml:space="preserve">Market data as of July 2, 2026 | $ in millions</x:t>
  </x:si>
  <x:si>
    <x:t xml:space="preserve">Capitalization &amp; Cost of Capital</x:t>
  </x:si>
  <x:si>
    <x:t xml:space="preserve">Share Price</x:t>
  </x:si>
  <x:si>
    <x:t xml:space="preserve">Market Value of Equity</x:t>
  </x:si>
  <x:si>
    <x:t xml:space="preserve">Market Value of Debt</x:t>
  </x:si>
  <x:si>
    <x:t xml:space="preserve">Total Capital</x:t>
  </x:si>
  <x:si>
    <x:t xml:space="preserve">Equity Weight</x:t>
  </x:si>
  <x:si>
    <x:t xml:space="preserve">Debt Weight</x:t>
  </x:si>
  <x:si>
    <x:t xml:space="preserve">Risk-Free Rate</x:t>
  </x:si>
  <x:si>
    <x:t xml:space="preserve">Cost of Equity (CAPM)</x:t>
  </x:si>
  <x:si>
    <x:t xml:space="preserve">Pre-Tax Cost of Debt</x:t>
  </x:si>
  <x:si>
    <x:t xml:space="preserve">Effective Tax Rate</x:t>
  </x:si>
  <x:si>
    <x:t xml:space="preserve">After-Tax Cost of Debt</x:t>
  </x:si>
  <x:si>
    <x:t xml:space="preserve">WACC</x:t>
  </x:si>
  <x:si>
    <x:t xml:space="preserve">Target Corporation — DCF Valuation</x:t>
  </x:si>
  <x:si>
    <x:t xml:space="preserve">EBIT</x:t>
  </x:si>
  <x:si>
    <x:t xml:space="preserve">Cash Taxes on EBIT</x:t>
  </x:si>
  <x:si>
    <x:t xml:space="preserve">NOPAT</x:t>
  </x:si>
  <x:si>
    <x:t xml:space="preserve">D&amp;A</x:t>
  </x:si>
  <x:si>
    <x:t xml:space="preserve">Net Working Capital</x:t>
  </x:si>
  <x:si>
    <x:t xml:space="preserve">Change in Net Working Capital</x:t>
  </x:si>
  <x:si>
    <x:t xml:space="preserve">Unlevered Free Cash Flow</x:t>
  </x:si>
  <x:si>
    <x:t xml:space="preserve">Discount Period</x:t>
  </x:si>
  <x:si>
    <x:t xml:space="preserve">Discount Factor</x:t>
  </x:si>
  <x:si>
    <x:t xml:space="preserve">PV of UFCF</x:t>
  </x:si>
  <x:si>
    <x:t xml:space="preserve">Gordon Growth Method</x:t>
  </x:si>
  <x:si>
    <x:t xml:space="preserve">Sum PV of Explicit UFCF</x:t>
  </x:si>
  <x:si>
    <x:t xml:space="preserve">Terminal Growth Rate</x:t>
  </x:si>
  <x:si>
    <x:t xml:space="preserve">Terminal Value</x:t>
  </x:si>
  <x:si>
    <x:t xml:space="preserve">PV of Terminal Value</x:t>
  </x:si>
  <x:si>
    <x:t xml:space="preserve">Enterprise Value</x:t>
  </x:si>
  <x:si>
    <x:t xml:space="preserve">Less: Debt</x:t>
  </x:si>
  <x:si>
    <x:t xml:space="preserve">Add: Cash</x:t>
  </x:si>
  <x:si>
    <x:t xml:space="preserve">Equity Value</x:t>
  </x:si>
  <x:si>
    <x:t xml:space="preserve">Implied Share Price</x:t>
  </x:si>
  <x:si>
    <x:t xml:space="preserve">Implied Upside / (Downside)</x:t>
  </x:si>
  <x:si>
    <x:t xml:space="preserve">Exit Multiple Cross-Check</x:t>
  </x:si>
  <x:si>
    <x:t xml:space="preserve">FY2030E EBITDA</x:t>
  </x:si>
  <x:si>
    <x:t xml:space="preserve">Exit EV/EBITDA Multiple</x:t>
  </x:si>
  <x:si>
    <x:t xml:space="preserve">Target Corporation — DCF Sensitivity</x:t>
  </x:si>
  <x:si>
    <x:t xml:space="preserve">WACC ↓ / Terminal Growth →</x:t>
  </x:si>
  <x:si>
    <x:t xml:space="preserve">Target Corporation — Trading Comps</x:t>
  </x:si>
  <x:si>
    <x:t xml:space="preserve">Company</x:t>
  </x:si>
  <x:si>
    <x:t xml:space="preserve">P/E (Trailing)</x:t>
  </x:si>
  <x:si>
    <x:t xml:space="preserve">EV/EBITDA</x:t>
  </x:si>
  <x:si>
    <x:t xml:space="preserve">Walmart (WMT)</x:t>
  </x:si>
  <x:si>
    <x:t xml:space="preserve">Costco (COST)</x:t>
  </x:si>
  <x:si>
    <x:t xml:space="preserve">TJX Companies (TJX)</x:t>
  </x:si>
  <x:si>
    <x:t xml:space="preserve">Dollar General (DG)</x:t>
  </x:si>
  <x:si>
    <x:t xml:space="preserve">Peer Median</x:t>
  </x:si>
  <x:si>
    <x:t xml:space="preserve">Target &amp; Implied Valuation</x:t>
  </x:si>
  <x:si>
    <x:t xml:space="preserve">Target FY2025A EPS</x:t>
  </x:si>
  <x:si>
    <x:t xml:space="preserve">Target FY2025A EBITDA</x:t>
  </x:si>
  <x:si>
    <x:t xml:space="preserve">Target Market Capitalization</x:t>
  </x:si>
  <x:si>
    <x:t xml:space="preserve">Target Enterprise Value</x:t>
  </x:si>
  <x:si>
    <x:t xml:space="preserve">Target P/E</x:t>
  </x:si>
  <x:si>
    <x:t xml:space="preserve">Target EV/EBITDA</x:t>
  </x:si>
  <x:si>
    <x:t xml:space="preserve">Implied Price — Peer Median P/E</x:t>
  </x:si>
  <x:si>
    <x:t xml:space="preserve">Implied EV — Peer Median EV/EBITDA</x:t>
  </x:si>
  <x:si>
    <x:t xml:space="preserve">Implied Price — Peer Median EV/EBITDA</x:t>
  </x:si>
  <x:si>
    <x:t xml:space="preserve">Note: WMT/COST/TJX trade at premium multiples vs. TGT's growth profile, peer median shown as a directional reference only.</x:t>
  </x:si>
</x:sst>
</file>

<file path=xl/styles.xml><?xml version="1.0" encoding="utf-8"?>
<x:styleSheet xmlns:x="http://schemas.openxmlformats.org/spreadsheetml/2006/main">
  <x:numFmts count="6">
    <x:numFmt numFmtId="164" formatCode="0.0%;[Red]\(0.0%\);\-"/>
    <x:numFmt numFmtId="165" formatCode="\$#,##0.00;[Red]\(\$#,##0.00\);\-"/>
    <x:numFmt numFmtId="166" formatCode="0.0%"/>
    <x:numFmt numFmtId="167" formatCode="0.0\x"/>
    <x:numFmt numFmtId="168" formatCode="#,##0;[Red]\(#,##0\);\-"/>
    <x:numFmt numFmtId="169" formatCode="0.000\x"/>
  </x:numFmts>
  <x:fonts count="16">
    <x:font>
      <x:sz val="11"/>
      <x:name val="Carlito"/>
    </x:font>
    <x:font>
      <x:b/>
      <x:sz val="24"/>
      <x:color rgb="FFFFFFFF"/>
      <x:name val="Arial"/>
    </x:font>
    <x:font>
      <x:b/>
      <x:sz val="15"/>
      <x:color rgb="FFFFFFFF"/>
      <x:name val="Arial"/>
    </x:font>
    <x:font>
      <x:sz val="11"/>
      <x:name val="Arial"/>
    </x:font>
    <x:font>
      <x:b/>
      <x:sz val="11"/>
      <x:name val="Arial"/>
    </x:font>
    <x:font>
      <x:b/>
      <x:sz val="16"/>
      <x:color rgb="FFFFFFFF"/>
      <x:name val="Arial"/>
    </x:font>
    <x:font>
      <x:i/>
      <x:sz val="9"/>
      <x:color rgb="FF666666"/>
      <x:name val="Arial"/>
    </x:font>
    <x:font>
      <x:b/>
      <x:sz val="11"/>
      <x:color rgb="FF000000"/>
      <x:name val="Arial"/>
    </x:font>
    <x:font>
      <x:sz val="11"/>
      <x:color rgb="FF0000FF"/>
      <x:name val="Arial"/>
    </x:font>
    <x:font>
      <x:sz val="9"/>
      <x:color rgb="FF666666"/>
      <x:name val="Arial"/>
    </x:font>
    <x:font>
      <x:sz val="11"/>
      <x:color rgb="FF008000"/>
      <x:name val="Arial"/>
    </x:font>
    <x:font>
      <x:sz val="11"/>
      <x:color rgb="FF000000"/>
      <x:name val="Arial"/>
    </x:font>
    <x:font>
      <x:b/>
      <x:sz val="11"/>
      <x:color rgb="FF0000FF"/>
      <x:name val="Arial"/>
    </x:font>
    <x:font>
      <x:b/>
      <x:sz val="11"/>
      <x:color rgb="FF008000"/>
      <x:name val="Arial"/>
    </x:font>
    <x:font>
      <x:b/>
      <x:sz val="11"/>
      <x:color rgb="FFFFFFFF"/>
      <x:name val="Arial"/>
    </x:font>
    <x:font>
      <x:i/>
      <x:sz val="11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theme="4"/>
      </x:patternFill>
    </x:fill>
  </x:fills>
  <x:borders count="7">
    <x:border/>
    <x:border>
      <x:bottom style="thin">
        <x:color rgb="FF000000"/>
      </x:bottom>
    </x:border>
    <x:border>
      <x:left style="medium">
        <x:color rgb="FF1F4E78"/>
      </x:left>
      <x:bottom style="thin">
        <x:color rgb="FF000000"/>
      </x:bottom>
    </x:border>
    <x:border>
      <x:bottom style="thin">
        <x:color rgb="FFBFBFBF"/>
      </x:bottom>
    </x:border>
    <x:border>
      <x:top style="thin">
        <x:color rgb="FF000000"/>
      </x:top>
    </x:border>
    <x:border>
      <x:top style="double">
        <x:color rgb="FF000000"/>
      </x:top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3" fillId="0" borderId="0" xfId="0" applyFont="1"/>
    <x:xf numFmtId="0" fontId="4" fillId="4" borderId="0" xfId="0" applyFont="1" applyFill="1"/>
    <x:xf numFmtId="0" fontId="3" fillId="0" borderId="0" xfId="0" applyFont="1" applyAlignment="1">
      <x:alignment wrapText="1"/>
    </x:xf>
    <x:xf numFmtId="0" fontId="4" fillId="5" borderId="1" xfId="0" applyFont="1" applyFill="1" applyBorder="1" applyAlignment="1">
      <x:alignment horizontal="right"/>
    </x:xf>
    <x:xf numFmtId="0" fontId="4" fillId="4" borderId="2" xfId="0" applyFont="1" applyFill="1" applyBorder="1" applyAlignment="1">
      <x:alignment horizontal="right"/>
    </x:xf>
    <x:xf numFmtId="0" fontId="4" fillId="4" borderId="1" xfId="0" applyFont="1" applyFill="1" applyBorder="1" applyAlignment="1">
      <x:alignment horizontal="right"/>
    </x:xf>
    <x:xf numFmtId="164" fontId="8" fillId="6" borderId="0" xfId="0" applyNumberFormat="1" applyFont="1" applyFill="1"/>
    <x:xf numFmtId="165" fontId="8" fillId="6" borderId="0" xfId="0" applyNumberFormat="1" applyFont="1" applyFill="1"/>
    <x:xf numFmtId="0" fontId="9" fillId="0" borderId="0" xfId="0" applyFont="1" applyAlignment="1">
      <x:alignment wrapText="1"/>
    </x:xf>
    <x:xf numFmtId="2" fontId="8" fillId="6" borderId="0" xfId="0" applyNumberFormat="1" applyFont="1" applyFill="1"/>
    <x:xf numFmtId="10" fontId="8" fillId="6" borderId="0" xfId="0" applyNumberFormat="1" applyFont="1" applyFill="1"/>
    <x:xf numFmtId="166" fontId="8" fillId="6" borderId="0" xfId="0" applyNumberFormat="1" applyFont="1" applyFill="1"/>
    <x:xf numFmtId="167" fontId="8" fillId="6" borderId="0" xfId="0" applyNumberFormat="1" applyFont="1" applyFill="1"/>
    <x:xf numFmtId="168" fontId="8" fillId="0" borderId="0" xfId="0" applyNumberFormat="1" applyFont="1"/>
    <x:xf numFmtId="168" fontId="10" fillId="0" borderId="0" xfId="0" applyNumberFormat="1" applyFont="1"/>
    <x:xf numFmtId="164" fontId="8" fillId="0" borderId="0" xfId="0" applyNumberFormat="1" applyFont="1"/>
    <x:xf numFmtId="164" fontId="11" fillId="0" borderId="0" xfId="0" applyNumberFormat="1" applyFont="1"/>
    <x:xf numFmtId="0" fontId="4" fillId="0" borderId="4" xfId="0" applyFont="1" applyBorder="1"/>
    <x:xf numFmtId="168" fontId="12" fillId="0" borderId="4" xfId="0" applyNumberFormat="1" applyFont="1" applyBorder="1"/>
    <x:xf numFmtId="168" fontId="7" fillId="0" borderId="4" xfId="0" applyNumberFormat="1" applyFont="1" applyBorder="1"/>
    <x:xf numFmtId="168" fontId="11" fillId="0" borderId="0" xfId="0" applyNumberFormat="1" applyFont="1"/>
    <x:xf numFmtId="2" fontId="8" fillId="0" borderId="0" xfId="0" applyNumberFormat="1" applyFont="1"/>
    <x:xf numFmtId="2" fontId="11" fillId="0" borderId="0" xfId="0" applyNumberFormat="1" applyFont="1"/>
    <x:xf numFmtId="0" fontId="4" fillId="7" borderId="4" xfId="0" applyFont="1" applyFill="1" applyBorder="1"/>
    <x:xf numFmtId="168" fontId="12" fillId="7" borderId="4" xfId="0" applyNumberFormat="1" applyFont="1" applyFill="1" applyBorder="1"/>
    <x:xf numFmtId="168" fontId="7" fillId="7" borderId="4" xfId="0" applyNumberFormat="1" applyFont="1" applyFill="1" applyBorder="1"/>
    <x:xf numFmtId="165" fontId="10" fillId="0" borderId="0" xfId="0" applyNumberFormat="1" applyFont="1"/>
    <x:xf numFmtId="168" fontId="13" fillId="0" borderId="4" xfId="0" applyNumberFormat="1" applyFont="1" applyBorder="1"/>
    <x:xf numFmtId="10" fontId="10" fillId="0" borderId="0" xfId="0" applyNumberFormat="1" applyFont="1"/>
    <x:xf numFmtId="2" fontId="10" fillId="0" borderId="0" xfId="0" applyNumberFormat="1" applyFont="1"/>
    <x:xf numFmtId="0" fontId="4" fillId="7" borderId="5" xfId="0" applyFont="1" applyFill="1" applyBorder="1"/>
    <x:xf numFmtId="10" fontId="13" fillId="7" borderId="5" xfId="0" applyNumberFormat="1" applyFont="1" applyFill="1" applyBorder="1"/>
    <x:xf numFmtId="0" fontId="4" fillId="4" borderId="0" xfId="0" applyFont="1" applyFill="1" applyAlignment="1">
      <x:alignment horizontal="right"/>
    </x:xf>
    <x:xf numFmtId="169" fontId="10" fillId="0" borderId="0" xfId="0" applyNumberFormat="1" applyFont="1"/>
    <x:xf numFmtId="168" fontId="3" fillId="0" borderId="0" xfId="0" applyNumberFormat="1" applyFont="1"/>
    <x:xf numFmtId="166" fontId="3" fillId="0" borderId="0" xfId="0" applyNumberFormat="1" applyFont="1"/>
    <x:xf numFmtId="165" fontId="4" fillId="7" borderId="4" xfId="0" applyNumberFormat="1" applyFont="1" applyFill="1" applyBorder="1"/>
    <x:xf numFmtId="0" fontId="4" fillId="7" borderId="0" xfId="0" applyFont="1" applyFill="1"/>
    <x:xf numFmtId="165" fontId="4" fillId="7" borderId="0" xfId="0" applyNumberFormat="1" applyFont="1" applyFill="1"/>
    <x:xf numFmtId="166" fontId="4" fillId="7" borderId="0" xfId="0" applyNumberFormat="1" applyFont="1" applyFill="1"/>
    <x:xf numFmtId="167" fontId="3" fillId="0" borderId="0" xfId="0" applyNumberFormat="1" applyFont="1"/>
    <x:xf numFmtId="0" fontId="4" fillId="4" borderId="4" xfId="0" applyFont="1" applyFill="1" applyBorder="1"/>
    <x:xf numFmtId="165" fontId="4" fillId="4" borderId="4" xfId="0" applyNumberFormat="1" applyFont="1" applyFill="1" applyBorder="1"/>
    <x:xf numFmtId="0" fontId="14" fillId="3" borderId="0" xfId="0" applyFont="1" applyFill="1" applyAlignment="1">
      <x:alignment horizontal="center"/>
    </x:xf>
    <x:xf numFmtId="166" fontId="14" fillId="3" borderId="0" xfId="0" applyNumberFormat="1" applyFont="1" applyFill="1" applyAlignment="1">
      <x:alignment horizontal="center"/>
    </x:xf>
    <x:xf numFmtId="166" fontId="4" fillId="4" borderId="0" xfId="0" applyNumberFormat="1" applyFont="1" applyFill="1"/>
    <x:xf numFmtId="165" fontId="10" fillId="0" borderId="6" xfId="0" applyNumberFormat="1" applyFont="1" applyBorder="1" applyAlignment="1">
      <x:alignment horizontal="right"/>
    </x:xf>
    <x:xf numFmtId="165" fontId="13" fillId="6" borderId="6" xfId="0" applyNumberFormat="1" applyFont="1" applyFill="1" applyBorder="1" applyAlignment="1">
      <x:alignment horizontal="right"/>
    </x:xf>
    <x:xf numFmtId="2" fontId="3" fillId="0" borderId="0" xfId="0" applyNumberFormat="1" applyFont="1"/>
    <x:xf numFmtId="2" fontId="4" fillId="0" borderId="4" xfId="0" applyNumberFormat="1" applyFont="1" applyBorder="1"/>
    <x:xf numFmtId="167" fontId="4" fillId="0" borderId="4" xfId="0" applyNumberFormat="1" applyFont="1" applyBorder="1"/>
    <x:xf numFmtId="167" fontId="10" fillId="0" borderId="0" xfId="0" applyNumberFormat="1" applyFont="1"/>
    <x:xf numFmtId="0" fontId="1" fillId="2" borderId="0" xfId="0" applyFont="1" applyFill="1" applyAlignment="1">
      <x:alignment horizontal="center" vertical="center"/>
    </x:xf>
    <x:xf numFmtId="0" fontId="2" fillId="3" borderId="0" xfId="0" applyFont="1" applyFill="1" applyAlignment="1">
      <x:alignment horizontal="center"/>
    </x:xf>
    <x:xf numFmtId="0" fontId="6" fillId="0" borderId="0" xfId="0" applyFont="1"/>
    <x:xf numFmtId="0" fontId="7" fillId="0" borderId="3" xfId="0" applyFont="1" applyBorder="1"/>
    <x:xf numFmtId="0" fontId="3" fillId="0" borderId="0" xfId="0" applyFont="1" applyAlignment="1">
      <x:alignment vertical="center" wrapText="1"/>
    </x:xf>
    <x:xf numFmtId="0" fontId="15" fillId="0" borderId="0" xfId="0" applyFont="1" applyAlignment="1">
      <x:alignment vertical="center" wrapText="1"/>
    </x:xf>
    <x:xf numFmtId="0" fontId="5" fillId="8" borderId="0" xfId="0" applyFont="1" applyFill="1" applyAlignment="1">
      <x:alignment vertical="center"/>
    </x:xf>
    <x:xf numFmtId="0" fontId="14" fillId="8" borderId="0" xfId="0" applyFont="1" applyFill="1"/>
    <x:xf numFmtId="0" fontId="14" fillId="8" borderId="0" xfId="0" applyFont="1" applyFill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fbca48a0ad4106" /><Relationship Type="http://schemas.openxmlformats.org/officeDocument/2006/relationships/theme" Target="/xl/theme/theme1.xml" Id="Rcb6f29a83c8848e7" /><Relationship Type="http://schemas.openxmlformats.org/officeDocument/2006/relationships/sharedStrings" Target="/xl/sharedStrings.xml" Id="R823a26f1bea44343" /><Relationship Type="http://schemas.openxmlformats.org/officeDocument/2006/relationships/worksheet" Target="/xl/worksheets/sheet1.xml" Id="R11fa8445ffb8448c" /><Relationship Type="http://schemas.openxmlformats.org/officeDocument/2006/relationships/worksheet" Target="/xl/worksheets/sheet2.xml" Id="R637a06eb574445cb" /><Relationship Type="http://schemas.openxmlformats.org/officeDocument/2006/relationships/worksheet" Target="/xl/worksheets/sheet3.xml" Id="R956f2654b0de416f" /><Relationship Type="http://schemas.openxmlformats.org/officeDocument/2006/relationships/worksheet" Target="/xl/worksheets/sheet4.xml" Id="R8fdc21043dc74a10" /><Relationship Type="http://schemas.openxmlformats.org/officeDocument/2006/relationships/worksheet" Target="/xl/worksheets/sheet5.xml" Id="Rd84846f1b21c4b0c" /><Relationship Type="http://schemas.openxmlformats.org/officeDocument/2006/relationships/worksheet" Target="/xl/worksheets/sheet6.xml" Id="R42b22dfd87f0494c" /><Relationship Type="http://schemas.openxmlformats.org/officeDocument/2006/relationships/worksheet" Target="/xl/worksheets/sheet7.xml" Id="R9d1938057a1448e0" /><Relationship Type="http://schemas.openxmlformats.org/officeDocument/2006/relationships/worksheet" Target="/xl/worksheets/sheet8.xml" Id="R20a2552f884e4bea" /><Relationship Type="http://schemas.openxmlformats.org/officeDocument/2006/relationships/worksheet" Target="/xl/worksheets/sheet9.xml" Id="Ra5ad81ce234f4451" /><Relationship Type="http://schemas.microsoft.com/office/2017/10/relationships/person" Target="/xl/persons/person.xml" Id="R5be26d891f32468c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11</xdr:col>
      <xdr:colOff>203200</xdr:colOff>
      <xdr:row>65</xdr:row>
      <xdr:rowOff>139700</xdr:rowOff>
    </xdr:to>
    <xdr:sp>
      <xdr:nvSpPr>
        <xdr:cNvPr id="1" name="Text Box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700000" cy="127000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10</xdr:col>
      <xdr:colOff>736600</xdr:colOff>
      <xdr:row>65</xdr:row>
      <xdr:rowOff>139700</xdr:rowOff>
    </xdr:to>
    <xdr:sp>
      <xdr:nvSpPr>
        <xdr:cNvPr id="1" name="Text Box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700000" cy="127000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10</xdr:col>
      <xdr:colOff>431800</xdr:colOff>
      <xdr:row>65</xdr:row>
      <xdr:rowOff>139700</xdr:rowOff>
    </xdr:to>
    <xdr:sp>
      <xdr:nvSpPr>
        <xdr:cNvPr id="1" name="Text Box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700000" cy="127000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Ria" id="{3F8CE162-3EBB-4683-92DD-EBDAC98256FF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6" dT="2026-07-19T19:46:41.82" personId="{3F8CE162-3EBB-4683-92DD-EBDAC98256FF}" id="{8584E62E-DCDE-D8EB-72CF-34E9CA7D6E15}">
    <xltc:text>Target 2021 Form 10-K, filed March 9, 2022, SEC EDGAR.</xltc:text>
  </xltc:threadedComment>
  <xltc:threadedComment ref="C6" dT="2026-07-19T19:46:41.82" personId="{3F8CE162-3EBB-4683-92DD-EBDAC98256FF}" id="{EAE8E2A1-06C4-9D67-6FA0-801351A8216C}">
    <xltc:text>Target 2022 Form 10-K, filed March 8, 2023, SEC EDGAR.</xltc:text>
  </xltc:threadedComment>
  <xltc:threadedComment ref="D6" dT="2026-07-19T19:46:41.82" personId="{3F8CE162-3EBB-4683-92DD-EBDAC98256FF}" id="{7A507D35-6CAC-42D3-91E3-364AB77DC1B4}">
    <xltc:text>Target 2023 Form 10-K, filed March 13, 2024, SEC EDGAR: https://www.sec.gov/Archives/edgar/data/27419/000002741924000032/tgt-20240203.htm</xltc:text>
  </xltc:threadedComment>
  <xltc:threadedComment ref="E6" dT="2026-07-19T19:46:41.82" personId="{3F8CE162-3EBB-4683-92DD-EBDAC98256FF}" id="{8D18D49C-B91F-2812-3D7E-5911D73BC2E6}">
    <xltc:text>Target 2024 Form 10-K, filed March 12, 2025, SEC EDGAR.</xltc:text>
  </xltc:threadedComment>
  <xltc:threadedComment ref="F6" dT="2026-07-19T19:46:41.82" personId="{3F8CE162-3EBB-4683-92DD-EBDAC98256FF}" id="{74D20B19-D085-3C93-F047-F10977AE3F03}">
    <xltc:text>Target 2025 Form 10-K, filed March 11, 2026, SEC EDGAR.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B6" dT="2026-07-19T19:46:41.82" personId="{3F8CE162-3EBB-4683-92DD-EBDAC98256FF}" id="{5E2CB887-6F38-BE06-3B98-24ADF20398E1}">
    <xltc:text>Target 2021 Form 10-K, filed March 9, 2022, SEC EDGAR.</xltc:text>
  </xltc:threadedComment>
  <xltc:threadedComment ref="C6" dT="2026-07-19T19:46:41.82" personId="{3F8CE162-3EBB-4683-92DD-EBDAC98256FF}" id="{75C7A6B2-F89B-410F-925C-B2B698D8E3DA}">
    <xltc:text>Target 2022 Form 10-K, filed March 8, 2023, SEC EDGAR.</xltc:text>
  </xltc:threadedComment>
  <xltc:threadedComment ref="D6" dT="2026-07-19T19:46:41.82" personId="{3F8CE162-3EBB-4683-92DD-EBDAC98256FF}" id="{CC1BAD50-EB0A-0536-3FC5-DD6503EAC8E5}">
    <xltc:text>Target 2023 Form 10-K, filed March 13, 2024, SEC EDGAR: https://www.sec.gov/Archives/edgar/data/27419/000002741924000032/tgt-20240203.htm</xltc:text>
  </xltc:threadedComment>
  <xltc:threadedComment ref="E6" dT="2026-07-19T19:46:41.82" personId="{3F8CE162-3EBB-4683-92DD-EBDAC98256FF}" id="{4D263D90-DD39-E4C7-44EC-F74B2C29B855}">
    <xltc:text>Target 2024 Form 10-K, filed March 12, 2025, SEC EDGAR.</xltc:text>
  </xltc:threadedComment>
  <xltc:threadedComment ref="F6" dT="2026-07-19T19:46:41.82" personId="{3F8CE162-3EBB-4683-92DD-EBDAC98256FF}" id="{D8DC9A7E-E9AC-4530-60C3-D03DF4901632}">
    <xltc:text>Target 2025 Form 10-K, filed March 11, 2026, SEC EDGAR.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B6" dT="2026-07-19T19:46:41.82" personId="{3F8CE162-3EBB-4683-92DD-EBDAC98256FF}" id="{03B57474-1757-207D-41F8-3CBE489CBAAE}">
    <xltc:text>Target 2021 Form 10-K, filed March 9, 2022, SEC EDGAR.</xltc:text>
  </xltc:threadedComment>
  <xltc:threadedComment ref="C6" dT="2026-07-19T19:46:41.82" personId="{3F8CE162-3EBB-4683-92DD-EBDAC98256FF}" id="{1ED385BB-04D1-20C0-23E6-E81C6665D129}">
    <xltc:text>Target 2022 Form 10-K, filed March 8, 2023, SEC EDGAR.</xltc:text>
  </xltc:threadedComment>
  <xltc:threadedComment ref="D6" dT="2026-07-19T19:46:41.82" personId="{3F8CE162-3EBB-4683-92DD-EBDAC98256FF}" id="{48A21EAB-A857-5CE0-5FFF-8A345DF5131C}">
    <xltc:text>Target 2023 Form 10-K, filed March 13, 2024, SEC EDGAR: https://www.sec.gov/Archives/edgar/data/27419/000002741924000032/tgt-20240203.htm</xltc:text>
  </xltc:threadedComment>
  <xltc:threadedComment ref="E6" dT="2026-07-19T19:46:41.82" personId="{3F8CE162-3EBB-4683-92DD-EBDAC98256FF}" id="{31408C6E-8A15-8303-465B-1A65C29ACBE7}">
    <xltc:text>Target 2024 Form 10-K, filed March 12, 2025, SEC EDGAR.</xltc:text>
  </xltc:threadedComment>
  <xltc:threadedComment ref="F6" dT="2026-07-19T19:46:41.82" personId="{3F8CE162-3EBB-4683-92DD-EBDAC98256FF}" id="{C45CF1BB-F06F-96C8-9D92-C8FF19512E24}">
    <xltc:text>Target 2025 Form 10-K, filed March 11, 2026, SEC EDGAR.</xltc:text>
  </xltc:threadedComment>
</xltc:ThreadedComment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440f1e2020f040aa" /><Relationship Type="http://schemas.openxmlformats.org/officeDocument/2006/relationships/vmlDrawing" Target="/xl/drawings/vmldrawing.vml" Id="R9c43f3666e194903" /><Relationship Type="http://schemas.microsoft.com/office/2017/10/relationships/threadedComment" Target="/xl/threadedcomments/threadedcomment.xml" Id="R58eb6100c66b4e91" /><Relationship Type="http://schemas.openxmlformats.org/officeDocument/2006/relationships/drawing" Target="/xl/drawings/drawing1.xml" Id="R28777584eba6496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2.xml" Id="Rb0c059e1d957444e" /><Relationship Type="http://schemas.openxmlformats.org/officeDocument/2006/relationships/vmlDrawing" Target="/xl/drawings/vmldrawing2.vml" Id="R424df06478c3456a" /><Relationship Type="http://schemas.microsoft.com/office/2017/10/relationships/threadedComment" Target="/xl/threadedcomments/threadedcomment2.xml" Id="R2d37ab85d9ca4694" /><Relationship Type="http://schemas.openxmlformats.org/officeDocument/2006/relationships/drawing" Target="/xl/drawings/drawing2.xml" Id="Rffdc6fa37d91487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3.xml" Id="R2bc65344f7f2431f" /><Relationship Type="http://schemas.openxmlformats.org/officeDocument/2006/relationships/vmlDrawing" Target="/xl/drawings/vmldrawing3.vml" Id="R12e4ac0755234e77" /><Relationship Type="http://schemas.microsoft.com/office/2017/10/relationships/threadedComment" Target="/xl/threadedcomments/threadedcomment3.xml" Id="Ra9fe69fa75014b5b" /><Relationship Type="http://schemas.openxmlformats.org/officeDocument/2006/relationships/drawing" Target="/xl/drawings/drawing3.xml" Id="R5819850c954a43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3" customWidth="1"/>
    <x:col min="2" max="2" width="22" customWidth="1"/>
    <x:col min="3" max="10" width="14" customWidth="1"/>
  </x:cols>
  <x:sheetData>
    <x:row r="2">
      <x:c r="B2" s="53" t="s">
        <x:v>0</x:v>
      </x:c>
      <x:c r="C2" s="53"/>
      <x:c r="D2" s="53"/>
      <x:c r="E2" s="53"/>
      <x:c r="F2" s="53"/>
      <x:c r="G2" s="53"/>
      <x:c r="H2" s="53"/>
      <x:c r="I2" s="53"/>
      <x:c r="J2" s="53"/>
    </x:row>
    <x:row r="3">
      <x:c r="B3" s="53"/>
      <x:c r="C3" s="53"/>
      <x:c r="D3" s="53"/>
      <x:c r="E3" s="53"/>
      <x:c r="F3" s="53"/>
      <x:c r="G3" s="53"/>
      <x:c r="H3" s="53"/>
      <x:c r="I3" s="53"/>
      <x:c r="J3" s="53"/>
    </x:row>
    <x:row r="4" ht="19">
      <x:c r="B4" s="54" t="s">
        <x:v>1</x:v>
      </x:c>
      <x:c r="C4" s="54"/>
      <x:c r="D4" s="54"/>
      <x:c r="E4" s="54"/>
      <x:c r="F4" s="54"/>
      <x:c r="G4" s="54"/>
      <x:c r="H4" s="54"/>
      <x:c r="I4" s="54"/>
      <x:c r="J4" s="54"/>
    </x:row>
    <x:row r="5">
      <x:c r="B5" s="1"/>
      <x:c r="C5" s="1"/>
      <x:c r="D5" s="1"/>
      <x:c r="E5" s="1"/>
      <x:c r="F5" s="1"/>
      <x:c r="G5" s="1"/>
      <x:c r="H5" s="1"/>
      <x:c r="I5" s="1"/>
      <x:c r="J5" s="1"/>
    </x:row>
    <x:row r="6">
      <x:c r="B6" s="1"/>
      <x:c r="C6" s="1"/>
      <x:c r="D6" s="1"/>
      <x:c r="E6" s="1"/>
      <x:c r="F6" s="1"/>
      <x:c r="G6" s="1"/>
      <x:c r="H6" s="1"/>
      <x:c r="I6" s="1"/>
      <x:c r="J6" s="1"/>
    </x:row>
    <x:row r="7" ht="106">
      <x:c r="B7" s="2" t="s">
        <x:v>2</x:v>
      </x:c>
      <x:c r="C7" s="3" t="s">
        <x:v>3</x:v>
      </x:c>
      <x:c r="D7" s="1"/>
      <x:c r="E7" s="1"/>
      <x:c r="F7" s="1"/>
      <x:c r="G7" s="1"/>
      <x:c r="H7" s="1"/>
      <x:c r="I7" s="1"/>
      <x:c r="J7" s="1"/>
    </x:row>
    <x:row r="8" ht="16">
      <x:c r="B8" s="2" t="s">
        <x:v>4</x:v>
      </x:c>
      <x:c r="C8" s="3" t="s">
        <x:v>5</x:v>
      </x:c>
      <x:c r="D8" s="1"/>
      <x:c r="E8" s="1"/>
      <x:c r="F8" s="1"/>
      <x:c r="G8" s="1"/>
      <x:c r="H8" s="1"/>
      <x:c r="I8" s="1"/>
      <x:c r="J8" s="1"/>
    </x:row>
    <x:row r="9" ht="16">
      <x:c r="B9" s="2" t="s">
        <x:v>6</x:v>
      </x:c>
      <x:c r="C9" s="3" t="s">
        <x:v>7</x:v>
      </x:c>
      <x:c r="D9" s="1"/>
      <x:c r="E9" s="1"/>
      <x:c r="F9" s="1"/>
      <x:c r="G9" s="1"/>
      <x:c r="H9" s="1"/>
      <x:c r="I9" s="1"/>
      <x:c r="J9" s="1"/>
    </x:row>
    <x:row r="10" ht="16">
      <x:c r="B10" s="2" t="s">
        <x:v>8</x:v>
      </x:c>
      <x:c r="C10" s="3" t="s">
        <x:v>9</x:v>
      </x:c>
      <x:c r="D10" s="1"/>
      <x:c r="E10" s="1"/>
      <x:c r="F10" s="1"/>
      <x:c r="G10" s="1"/>
      <x:c r="H10" s="1"/>
      <x:c r="I10" s="1"/>
      <x:c r="J10" s="1"/>
    </x:row>
    <x:row r="11" ht="46">
      <x:c r="B11" s="2" t="s">
        <x:v>10</x:v>
      </x:c>
      <x:c r="C11" s="3" t="s">
        <x:v>11</x:v>
      </x:c>
      <x:c r="D11" s="1"/>
      <x:c r="E11" s="1"/>
      <x:c r="F11" s="1"/>
      <x:c r="G11" s="1"/>
      <x:c r="H11" s="1"/>
      <x:c r="I11" s="1"/>
      <x:c r="J11" s="1"/>
    </x:row>
    <x:row r="12" ht="16">
      <x:c r="B12" s="2" t="s">
        <x:v>12</x:v>
      </x:c>
      <x:c r="C12" s="3" t="s">
        <x:v>13</x:v>
      </x:c>
      <x:c r="D12" s="1"/>
      <x:c r="E12" s="1"/>
      <x:c r="F12" s="1"/>
      <x:c r="G12" s="1"/>
      <x:c r="H12" s="1"/>
      <x:c r="I12" s="1"/>
      <x:c r="J12" s="1"/>
    </x:row>
    <x:row r="13" ht="166">
      <x:c r="B13" s="2" t="s">
        <x:v>14</x:v>
      </x:c>
      <x:c r="C13" s="3" t="s">
        <x:v>15</x:v>
      </x:c>
      <x:c r="D13" s="1"/>
      <x:c r="E13" s="1"/>
      <x:c r="F13" s="1"/>
      <x:c r="G13" s="1"/>
      <x:c r="H13" s="1"/>
      <x:c r="I13" s="1"/>
      <x:c r="J13" s="1"/>
    </x:row>
    <x:row r="14" ht="46">
      <x:c r="B14" s="2" t="s">
        <x:v>16</x:v>
      </x:c>
      <x:c r="C14" s="3" t="s">
        <x:v>17</x:v>
      </x:c>
      <x:c r="D14" s="1"/>
      <x:c r="E14" s="1"/>
      <x:c r="F14" s="1"/>
      <x:c r="G14" s="1"/>
      <x:c r="H14" s="1"/>
      <x:c r="I14" s="1"/>
      <x:c r="J14" s="1"/>
    </x:row>
  </x:sheetData>
  <x:mergeCells>
    <x:mergeCell ref="B2:J3"/>
    <x:mergeCell ref="B4:J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38" customWidth="1"/>
    <x:col min="2" max="11" width="13" customWidth="1"/>
  </x:cols>
  <x:sheetData>
    <x:row r="1" ht="26" customHeight="1">
      <x:c r="A1" s="59" t="s">
        <x:v>18</x:v>
      </x:c>
      <x:c r="B1" s="59"/>
      <x:c r="C1" s="59"/>
      <x:c r="D1" s="59"/>
      <x:c r="E1" s="59"/>
      <x:c r="F1" s="59"/>
      <x:c r="G1" s="59"/>
      <x:c r="H1" s="59"/>
      <x:c r="I1" s="59"/>
      <x:c r="J1" s="59"/>
      <x:c r="K1" s="59"/>
    </x:row>
    <x:row r="2" ht="18" customHeight="1">
      <x:c r="A2" s="55" t="s">
        <x:v>19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4" t="s">
        <x:v>20</x:v>
      </x:c>
      <x:c r="C4" s="4" t="s">
        <x:v>21</x:v>
      </x:c>
      <x:c r="D4" s="4" t="s">
        <x:v>22</x:v>
      </x:c>
      <x:c r="E4" s="4" t="s">
        <x:v>23</x:v>
      </x:c>
      <x:c r="F4" s="4" t="s">
        <x:v>24</x:v>
      </x:c>
      <x:c r="G4" s="5" t="s">
        <x:v>25</x:v>
      </x:c>
      <x:c r="H4" s="6" t="s">
        <x:v>26</x:v>
      </x:c>
      <x:c r="I4" s="6" t="s">
        <x:v>27</x:v>
      </x:c>
      <x:c r="J4" s="6" t="s">
        <x:v>28</x:v>
      </x:c>
      <x:c r="K4" s="6" t="s">
        <x:v>29</x:v>
      </x:c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 ht="20" customHeight="1">
      <x:c r="A6" s="56" t="s">
        <x:v>30</x:v>
      </x:c>
      <x:c r="B6" s="56" t="s">
        <x:v>30</x:v>
      </x:c>
      <x:c r="C6" s="56" t="s">
        <x:v>30</x:v>
      </x:c>
      <x:c r="D6" s="56" t="s">
        <x:v>30</x:v>
      </x:c>
      <x:c r="E6" s="56" t="s">
        <x:v>30</x:v>
      </x:c>
      <x:c r="F6" s="56" t="s">
        <x:v>30</x:v>
      </x:c>
      <x:c r="G6" s="56" t="s">
        <x:v>30</x:v>
      </x:c>
      <x:c r="H6" s="56" t="s">
        <x:v>30</x:v>
      </x:c>
      <x:c r="I6" s="56" t="s">
        <x:v>30</x:v>
      </x:c>
      <x:c r="J6" s="56" t="s">
        <x:v>30</x:v>
      </x:c>
      <x:c r="K6" s="56" t="s">
        <x:v>30</x:v>
      </x:c>
    </x:row>
    <x:row r="7">
      <x:c r="A7" s="1" t="s">
        <x:v>31</x:v>
      </x:c>
      <x:c r="B7" s="1"/>
      <x:c r="C7" s="1"/>
      <x:c r="D7" s="1"/>
      <x:c r="E7" s="1"/>
      <x:c r="F7" s="1"/>
      <x:c r="G7" s="7">
        <x:v>0.01</x:v>
      </x:c>
      <x:c r="H7" s="7">
        <x:v>0.02</x:v>
      </x:c>
      <x:c r="I7" s="7">
        <x:v>2.5000000000000001E-2</x:v>
      </x:c>
      <x:c r="J7" s="7">
        <x:v>0.03</x:v>
      </x:c>
      <x:c r="K7" s="7">
        <x:v>0.03</x:v>
      </x:c>
    </x:row>
    <x:row r="8">
      <x:c r="A8" s="1" t="s">
        <x:v>32</x:v>
      </x:c>
      <x:c r="B8" s="1"/>
      <x:c r="C8" s="1"/>
      <x:c r="D8" s="1"/>
      <x:c r="E8" s="1"/>
      <x:c r="F8" s="1"/>
      <x:c r="G8" s="7">
        <x:v>0.27900000000000003</x:v>
      </x:c>
      <x:c r="H8" s="7">
        <x:v>0.27900000000000003</x:v>
      </x:c>
      <x:c r="I8" s="7">
        <x:v>0.28000000000000003</x:v>
      </x:c>
      <x:c r="J8" s="7">
        <x:v>0.28000000000000003</x:v>
      </x:c>
      <x:c r="K8" s="7">
        <x:v>0.28000000000000003</x:v>
      </x:c>
    </x:row>
    <x:row r="9">
      <x:c r="A9" s="1" t="s">
        <x:v>33</x:v>
      </x:c>
      <x:c r="B9" s="1"/>
      <x:c r="C9" s="1"/>
      <x:c r="D9" s="1"/>
      <x:c r="E9" s="1"/>
      <x:c r="F9" s="1"/>
      <x:c r="G9" s="7">
        <x:v>0.20499999999999999</x:v>
      </x:c>
      <x:c r="H9" s="7">
        <x:v>0.20399999999999999</x:v>
      </x:c>
      <x:c r="I9" s="7">
        <x:v>0.20300000000000001</x:v>
      </x:c>
      <x:c r="J9" s="7">
        <x:v>0.20200000000000001</x:v>
      </x:c>
      <x:c r="K9" s="7">
        <x:v>0.20100000000000001</x:v>
      </x:c>
    </x:row>
    <x:row r="10">
      <x:c r="A10" s="1" t="str">
        <x:v>D&amp;A (Opex-only) % of Revenue</x:v>
      </x:c>
      <x:c r="B10" s="1"/>
      <x:c r="C10" s="1"/>
      <x:c r="D10" s="1"/>
      <x:c r="E10" s="1"/>
      <x:c r="F10" s="1"/>
      <x:c r="G10" s="7">
        <x:v>2.5000000000000001E-2</x:v>
      </x:c>
      <x:c r="H10" s="7">
        <x:v>2.5000000000000001E-2</x:v>
      </x:c>
      <x:c r="I10" s="7">
        <x:v>2.5000000000000001E-2</x:v>
      </x:c>
      <x:c r="J10" s="7">
        <x:v>2.5000000000000001E-2</x:v>
      </x:c>
      <x:c r="K10" s="7">
        <x:v>2.5000000000000001E-2</x:v>
      </x:c>
    </x:row>
    <x:row r="11">
      <x:c r="A11" s="1" t="s">
        <x:v>34</x:v>
      </x:c>
      <x:c r="B11" s="1"/>
      <x:c r="C11" s="1"/>
      <x:c r="D11" s="1"/>
      <x:c r="E11" s="1"/>
      <x:c r="F11" s="1"/>
      <x:c r="G11" s="7">
        <x:v>3.5000000000000003E-2</x:v>
      </x:c>
      <x:c r="H11" s="7">
        <x:v>3.5000000000000003E-2</x:v>
      </x:c>
      <x:c r="I11" s="7">
        <x:v>3.5000000000000003E-2</x:v>
      </x:c>
      <x:c r="J11" s="7">
        <x:v>3.5000000000000003E-2</x:v>
      </x:c>
      <x:c r="K11" s="7">
        <x:v>3.5000000000000003E-2</x:v>
      </x:c>
    </x:row>
    <x:row r="12">
      <x:c r="A12" s="1" t="s">
        <x:v>35</x:v>
      </x:c>
      <x:c r="B12" s="1"/>
      <x:c r="C12" s="1"/>
      <x:c r="D12" s="1"/>
      <x:c r="E12" s="1"/>
      <x:c r="F12" s="1"/>
      <x:c r="G12" s="7">
        <x:v>0.223</x:v>
      </x:c>
      <x:c r="H12" s="7">
        <x:v>0.223</x:v>
      </x:c>
      <x:c r="I12" s="7">
        <x:v>0.223</x:v>
      </x:c>
      <x:c r="J12" s="7">
        <x:v>0.223</x:v>
      </x:c>
      <x:c r="K12" s="7">
        <x:v>0.223</x:v>
      </x:c>
    </x:row>
    <x:row r="13">
      <x:c r="A13" s="1" t="str">
        <x:v>Full D&amp;A % of Revenue</x:v>
      </x:c>
      <x:c r="B13" s="1"/>
      <x:c r="C13" s="1"/>
      <x:c r="D13" s="1"/>
      <x:c r="E13" s="1"/>
      <x:c r="F13" s="1"/>
      <x:c r="G13" s="1" t="n">
        <x:v>0.03</x:v>
      </x:c>
      <x:c r="H13" s="1" t="n">
        <x:v>0.03</x:v>
      </x:c>
      <x:c r="I13" s="1" t="n">
        <x:v>0.03</x:v>
      </x:c>
      <x:c r="J13" s="1" t="n">
        <x:v>0.03</x:v>
      </x:c>
      <x:c r="K13" s="1" t="n">
        <x:v>0.03</x:v>
      </x:c>
    </x:row>
    <x:row r="14" ht="20" customHeight="1">
      <x:c r="A14" s="56" t="s">
        <x:v>36</x:v>
      </x:c>
      <x:c r="B14" s="56" t="s">
        <x:v>36</x:v>
      </x:c>
      <x:c r="C14" s="56" t="s">
        <x:v>36</x:v>
      </x:c>
      <x:c r="D14" s="56" t="s">
        <x:v>36</x:v>
      </x:c>
      <x:c r="E14" s="56" t="s">
        <x:v>36</x:v>
      </x:c>
      <x:c r="F14" s="56" t="s">
        <x:v>36</x:v>
      </x:c>
      <x:c r="G14" s="56" t="s">
        <x:v>36</x:v>
      </x:c>
      <x:c r="H14" s="56" t="s">
        <x:v>36</x:v>
      </x:c>
      <x:c r="I14" s="56" t="s">
        <x:v>36</x:v>
      </x:c>
      <x:c r="J14" s="56" t="s">
        <x:v>36</x:v>
      </x:c>
      <x:c r="K14" s="56" t="s">
        <x:v>36</x:v>
      </x:c>
    </x:row>
    <x:row r="15">
      <x:c r="A15" s="1" t="s">
        <x:v>37</x:v>
      </x:c>
      <x:c r="B15" s="1"/>
      <x:c r="C15" s="1"/>
      <x:c r="D15" s="1"/>
      <x:c r="E15" s="1"/>
      <x:c r="F15" s="1"/>
      <x:c r="G15" s="7">
        <x:v>0.16300000000000001</x:v>
      </x:c>
      <x:c r="H15" s="7">
        <x:v>0.16300000000000001</x:v>
      </x:c>
      <x:c r="I15" s="7">
        <x:v>0.16300000000000001</x:v>
      </x:c>
      <x:c r="J15" s="7">
        <x:v>0.16300000000000001</x:v>
      </x:c>
      <x:c r="K15" s="7">
        <x:v>0.16300000000000001</x:v>
      </x:c>
    </x:row>
    <x:row r="16">
      <x:c r="A16" s="1" t="s">
        <x:v>38</x:v>
      </x:c>
      <x:c r="B16" s="1"/>
      <x:c r="C16" s="1"/>
      <x:c r="D16" s="1"/>
      <x:c r="E16" s="1"/>
      <x:c r="F16" s="1"/>
      <x:c r="G16" s="7">
        <x:v>0.16700000000000001</x:v>
      </x:c>
      <x:c r="H16" s="7">
        <x:v>0.16700000000000001</x:v>
      </x:c>
      <x:c r="I16" s="7">
        <x:v>0.16700000000000001</x:v>
      </x:c>
      <x:c r="J16" s="7">
        <x:v>0.16700000000000001</x:v>
      </x:c>
      <x:c r="K16" s="7">
        <x:v>0.16700000000000001</x:v>
      </x:c>
    </x:row>
    <x:row r="17">
      <x:c r="A17" s="1" t="s">
        <x:v>39</x:v>
      </x:c>
      <x:c r="B17" s="1"/>
      <x:c r="C17" s="1"/>
      <x:c r="D17" s="1"/>
      <x:c r="E17" s="1"/>
      <x:c r="F17" s="1"/>
      <x:c r="G17" s="7">
        <x:v>2.1100000000000001E-2</x:v>
      </x:c>
      <x:c r="H17" s="7">
        <x:v>2.1100000000000001E-2</x:v>
      </x:c>
      <x:c r="I17" s="7">
        <x:v>2.1100000000000001E-2</x:v>
      </x:c>
      <x:c r="J17" s="7">
        <x:v>2.1100000000000001E-2</x:v>
      </x:c>
      <x:c r="K17" s="7">
        <x:v>2.1100000000000001E-2</x:v>
      </x:c>
    </x:row>
    <x:row r="18">
      <x:c r="A18" s="1" t="s">
        <x:v>40</x:v>
      </x:c>
      <x:c r="B18" s="1"/>
      <x:c r="C18" s="1"/>
      <x:c r="D18" s="1"/>
      <x:c r="E18" s="1"/>
      <x:c r="F18" s="1"/>
      <x:c r="G18" s="7">
        <x:v>6.1800000000000001E-2</x:v>
      </x:c>
      <x:c r="H18" s="7">
        <x:v>6.1800000000000001E-2</x:v>
      </x:c>
      <x:c r="I18" s="7">
        <x:v>6.1800000000000001E-2</x:v>
      </x:c>
      <x:c r="J18" s="7">
        <x:v>6.1800000000000001E-2</x:v>
      </x:c>
      <x:c r="K18" s="7">
        <x:v>6.1800000000000001E-2</x:v>
      </x:c>
    </x:row>
    <x:row r="19">
      <x:c r="A19" s="1" t="s">
        <x:v>41</x:v>
      </x:c>
      <x:c r="B19" s="1"/>
      <x:c r="C19" s="1"/>
      <x:c r="D19" s="1"/>
      <x:c r="E19" s="1"/>
      <x:c r="F19" s="1"/>
      <x:c r="G19" s="7">
        <x:v>1.9400000000000001E-2</x:v>
      </x:c>
      <x:c r="H19" s="7">
        <x:v>1.9400000000000001E-2</x:v>
      </x:c>
      <x:c r="I19" s="7">
        <x:v>1.9400000000000001E-2</x:v>
      </x:c>
      <x:c r="J19" s="7">
        <x:v>1.9400000000000001E-2</x:v>
      </x:c>
      <x:c r="K19" s="7">
        <x:v>1.9400000000000001E-2</x:v>
      </x:c>
    </x:row>
    <x:row r="20">
      <x:c r="A20" s="1" t="s">
        <x:v>42</x:v>
      </x:c>
      <x:c r="B20" s="1"/>
      <x:c r="C20" s="1"/>
      <x:c r="D20" s="1"/>
      <x:c r="E20" s="1"/>
      <x:c r="F20" s="1"/>
      <x:c r="G20" s="7">
        <x:v>2.7000000000000001E-3</x:v>
      </x:c>
      <x:c r="H20" s="7">
        <x:v>2.7000000000000001E-3</x:v>
      </x:c>
      <x:c r="I20" s="7">
        <x:v>2.7000000000000001E-3</x:v>
      </x:c>
      <x:c r="J20" s="7">
        <x:v>2.7000000000000001E-3</x:v>
      </x:c>
      <x:c r="K20" s="7">
        <x:v>2.7000000000000001E-3</x:v>
      </x:c>
    </x:row>
    <x:row r="21">
      <x:c r="A21" s="1" t="s">
        <x:v>43</x:v>
      </x:c>
      <x:c r="B21" s="1"/>
      <x:c r="C21" s="1"/>
      <x:c r="D21" s="1"/>
      <x:c r="E21" s="1"/>
      <x:c r="F21" s="1"/>
      <x:c r="G21" s="7">
        <x:v>0.55400000000000005</x:v>
      </x:c>
      <x:c r="H21" s="7">
        <x:v>0.55400000000000005</x:v>
      </x:c>
      <x:c r="I21" s="7">
        <x:v>0.55400000000000005</x:v>
      </x:c>
      <x:c r="J21" s="7">
        <x:v>0.55400000000000005</x:v>
      </x:c>
      <x:c r="K21" s="7">
        <x:v>0.55400000000000005</x:v>
      </x:c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20" customHeight="1">
      <x:c r="A23" s="56" t="s">
        <x:v>44</x:v>
      </x:c>
      <x:c r="B23" s="56" t="s">
        <x:v>44</x:v>
      </x:c>
      <x:c r="C23" s="56" t="s">
        <x:v>44</x:v>
      </x:c>
      <x:c r="D23" s="56" t="s">
        <x:v>44</x:v>
      </x:c>
      <x:c r="E23" s="56" t="s">
        <x:v>44</x:v>
      </x:c>
      <x:c r="F23" s="56" t="s">
        <x:v>44</x:v>
      </x:c>
      <x:c r="G23" s="56" t="s">
        <x:v>44</x:v>
      </x:c>
      <x:c r="H23" s="56" t="s">
        <x:v>44</x:v>
      </x:c>
      <x:c r="I23" s="56" t="s">
        <x:v>44</x:v>
      </x:c>
      <x:c r="J23" s="56" t="s">
        <x:v>44</x:v>
      </x:c>
      <x:c r="K23" s="56" t="s">
        <x:v>44</x:v>
      </x:c>
    </x:row>
    <x:row r="24" ht="27">
      <x:c r="A24" s="1" t="s">
        <x:v>45</x:v>
      </x:c>
      <x:c r="B24" s="8">
        <x:v>130.21</x:v>
      </x:c>
      <x:c r="C24" s="9" t="s">
        <x:v>46</x:v>
      </x:c>
      <x:c r="D24" s="1"/>
      <x:c r="E24" s="1"/>
      <x:c r="F24" s="1"/>
      <x:c r="G24" s="1"/>
      <x:c r="H24" s="1"/>
      <x:c r="I24" s="1"/>
      <x:c r="J24" s="1"/>
      <x:c r="K24" s="1"/>
    </x:row>
    <x:row r="25" ht="40">
      <x:c r="A25" s="1" t="str">
        <x:v>Current Shares Outstanding</x:v>
      </x:c>
      <x:c r="B25" s="10" t="n">
        <x:v>454.19</x:v>
      </x:c>
      <x:c r="C25" s="9" t="str">
        <x:v>Current basic shares outstanding used for market capitalization</x:v>
      </x:c>
      <x:c r="D25" s="1"/>
      <x:c r="E25" s="1"/>
      <x:c r="F25" s="1"/>
      <x:c r="G25" s="1"/>
      <x:c r="H25" s="1"/>
      <x:c r="I25" s="1"/>
      <x:c r="J25" s="1"/>
      <x:c r="K25" s="1"/>
    </x:row>
    <x:row r="26" ht="53">
      <x:c r="A26" s="1" t="str">
        <x:v>Risk-Free Rate</x:v>
      </x:c>
      <x:c r="B26" s="11" t="n">
        <x:v>0.0449</x:v>
      </x:c>
      <x:c r="C26" s="9" t="str">
        <x:v>10Y U.S. Treasury daily par yield curve, July 2, 2026</x:v>
      </x:c>
      <x:c r="D26" s="1"/>
      <x:c r="E26" s="1"/>
      <x:c r="F26" s="1"/>
      <x:c r="G26" s="1"/>
      <x:c r="H26" s="1"/>
      <x:c r="I26" s="1"/>
      <x:c r="J26" s="1"/>
      <x:c r="K26" s="1"/>
    </x:row>
    <x:row r="27" ht="40">
      <x:c r="A27" s="1" t="s">
        <x:v>47</x:v>
      </x:c>
      <x:c r="B27" s="10">
        <x:v>0.99</x:v>
      </x:c>
      <x:c r="C27" s="9" t="s">
        <x:v>48</x:v>
      </x:c>
      <x:c r="D27" s="1"/>
      <x:c r="E27" s="1"/>
      <x:c r="F27" s="1"/>
      <x:c r="G27" s="1"/>
      <x:c r="H27" s="1"/>
      <x:c r="I27" s="1"/>
      <x:c r="J27" s="1"/>
      <x:c r="K27" s="1"/>
    </x:row>
    <x:row r="28" ht="40">
      <x:c r="A28" s="1" t="s">
        <x:v>49</x:v>
      </x:c>
      <x:c r="B28" s="11">
        <x:v>0.05</x:v>
      </x:c>
      <x:c r="C28" s="9" t="s">
        <x:v>50</x:v>
      </x:c>
      <x:c r="D28" s="1"/>
      <x:c r="E28" s="1"/>
      <x:c r="F28" s="1"/>
      <x:c r="G28" s="1"/>
      <x:c r="H28" s="1"/>
      <x:c r="I28" s="1"/>
      <x:c r="J28" s="1"/>
      <x:c r="K28" s="1"/>
    </x:row>
    <x:row r="29" ht="79">
      <x:c r="A29" s="1" t="str">
        <x:v>Pre-Tax Cost of Debt</x:v>
      </x:c>
      <x:c r="B29" s="11" t="n">
        <x:v>0.0534</x:v>
      </x:c>
      <x:c r="C29" s="9" t="str">
        <x:v>10Y risk-free + ~85bps retail credit spread (forward rate, not TGT's historical effective rate)</x:v>
      </x:c>
      <x:c r="D29" s="1"/>
      <x:c r="E29" s="1"/>
      <x:c r="F29" s="1"/>
      <x:c r="G29" s="1"/>
      <x:c r="H29" s="1"/>
      <x:c r="I29" s="1"/>
      <x:c r="J29" s="1"/>
      <x:c r="K29" s="1"/>
    </x:row>
    <x:row r="30">
      <x:c r="A30" s="1" t="str">
        <x:v>Diluted Shares for Valuation</x:v>
      </x:c>
      <x:c r="B30" s="1" t="n">
        <x:v>455.6</x:v>
      </x:c>
      <x:c r="C30" s="1" t="str">
        <x:v>FY2025 diluted weighted-average shares; conservative valuation denominator</x:v>
      </x:c>
      <x:c r="D30" s="1"/>
      <x:c r="E30" s="1"/>
      <x:c r="F30" s="1"/>
      <x:c r="G30" s="1"/>
      <x:c r="H30" s="1"/>
      <x:c r="I30" s="1"/>
      <x:c r="J30" s="1"/>
      <x:c r="K30" s="1"/>
    </x:row>
    <x:row r="31" ht="20" customHeight="1">
      <x:c r="A31" s="56" t="s">
        <x:v>51</x:v>
      </x:c>
      <x:c r="B31" s="56" t="s">
        <x:v>51</x:v>
      </x:c>
      <x:c r="C31" s="56" t="s">
        <x:v>51</x:v>
      </x:c>
      <x:c r="D31" s="56" t="s">
        <x:v>51</x:v>
      </x:c>
      <x:c r="E31" s="56" t="s">
        <x:v>51</x:v>
      </x:c>
      <x:c r="F31" s="56" t="s">
        <x:v>51</x:v>
      </x:c>
      <x:c r="G31" s="56" t="s">
        <x:v>51</x:v>
      </x:c>
      <x:c r="H31" s="56" t="s">
        <x:v>51</x:v>
      </x:c>
      <x:c r="I31" s="56" t="s">
        <x:v>51</x:v>
      </x:c>
      <x:c r="J31" s="56" t="s">
        <x:v>51</x:v>
      </x:c>
      <x:c r="K31" s="56" t="s">
        <x:v>51</x:v>
      </x:c>
    </x:row>
    <x:row r="32">
      <x:c r="A32" s="1" t="s">
        <x:v>52</x:v>
      </x:c>
      <x:c r="B32" s="12">
        <x:v>0.02</x:v>
      </x:c>
      <x:c r="C32" s="1" t="s">
        <x:v>53</x:v>
      </x:c>
      <x:c r="D32" s="1"/>
      <x:c r="E32" s="1"/>
      <x:c r="F32" s="1"/>
      <x:c r="G32" s="1"/>
      <x:c r="H32" s="1"/>
      <x:c r="I32" s="1"/>
      <x:c r="J32" s="1"/>
      <x:c r="K32" s="1"/>
    </x:row>
    <x:row r="33">
      <x:c r="A33" s="1" t="str">
        <x:v>Exit EV/EBITDA Multiple</x:v>
      </x:c>
      <x:c r="B33" s="13" t="n">
        <x:v>8</x:v>
      </x:c>
      <x:c r="C33" s="1" t="str">
        <x:v>Conservative, below TGT's corrected current ~8.5x multiple</x:v>
      </x:c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20" customHeight="1">
      <x:c r="A35" s="56" t="s">
        <x:v>54</x:v>
      </x:c>
      <x:c r="B35" s="56" t="s">
        <x:v>54</x:v>
      </x:c>
      <x:c r="C35" s="56" t="s">
        <x:v>54</x:v>
      </x:c>
      <x:c r="D35" s="56" t="s">
        <x:v>54</x:v>
      </x:c>
      <x:c r="E35" s="56" t="s">
        <x:v>54</x:v>
      </x:c>
      <x:c r="F35" s="56" t="s">
        <x:v>54</x:v>
      </x:c>
      <x:c r="G35" s="56" t="s">
        <x:v>54</x:v>
      </x:c>
      <x:c r="H35" s="56" t="s">
        <x:v>54</x:v>
      </x:c>
      <x:c r="I35" s="56" t="s">
        <x:v>54</x:v>
      </x:c>
      <x:c r="J35" s="56" t="s">
        <x:v>54</x:v>
      </x:c>
      <x:c r="K35" s="56" t="s">
        <x:v>54</x:v>
      </x:c>
    </x:row>
    <x:row r="36">
      <x:c r="A36" s="57" t="str">
        <x:v>FY2021A/FY2022A revenue combines the original 'Sales' + 'Other revenue' lines to match the single 'Net sales' line used from FY2023A onward. FY2022A COGS and SG&amp;A use the later reclassified presentation for comparability. Forecast full D&amp;A is modeled separately at 3.0% of revenue; the income-statement D&amp;A row excludes depreciation embedded in cost of sales.</x:v>
      </x:c>
      <x:c r="B36" s="57"/>
      <x:c r="C36" s="57"/>
      <x:c r="D36" s="57"/>
      <x:c r="E36" s="57"/>
      <x:c r="F36" s="57"/>
      <x:c r="G36" s="57"/>
      <x:c r="H36" s="57"/>
      <x:c r="I36" s="57"/>
      <x:c r="J36" s="57"/>
      <x:c r="K36" s="57"/>
    </x:row>
    <x:row r="37">
      <x:c r="A37" s="57"/>
      <x:c r="B37" s="57"/>
      <x:c r="C37" s="57"/>
      <x:c r="D37" s="57"/>
      <x:c r="E37" s="57"/>
      <x:c r="F37" s="57"/>
      <x:c r="G37" s="57"/>
      <x:c r="H37" s="57"/>
      <x:c r="I37" s="57"/>
      <x:c r="J37" s="57"/>
      <x:c r="K37" s="57"/>
    </x:row>
    <x:row r="38">
      <x:c r="A38" s="57"/>
      <x:c r="B38" s="57"/>
      <x:c r="C38" s="57"/>
      <x:c r="D38" s="57"/>
      <x:c r="E38" s="57"/>
      <x:c r="F38" s="57"/>
      <x:c r="G38" s="57"/>
      <x:c r="H38" s="57"/>
      <x:c r="I38" s="57"/>
      <x:c r="J38" s="57"/>
      <x:c r="K38" s="57"/>
    </x:row>
  </x:sheetData>
  <x:mergeCells>
    <x:mergeCell ref="A31:K31"/>
    <x:mergeCell ref="A35:K35"/>
    <x:mergeCell ref="A36:K38"/>
    <x:mergeCell ref="A1:K1"/>
    <x:mergeCell ref="A2:K2"/>
    <x:mergeCell ref="A6:K6"/>
    <x:mergeCell ref="A14:K14"/>
    <x:mergeCell ref="A23:K2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34" customWidth="1"/>
    <x:col min="2" max="11" width="13" customWidth="1"/>
  </x:cols>
  <x:sheetData>
    <x:row r="1" ht="26" customHeight="1">
      <x:c r="A1" s="59" t="s">
        <x:v>55</x:v>
      </x:c>
      <x:c r="B1" s="59"/>
      <x:c r="C1" s="59"/>
      <x:c r="D1" s="59"/>
      <x:c r="E1" s="59"/>
      <x:c r="F1" s="59"/>
      <x:c r="G1" s="59"/>
      <x:c r="H1" s="59"/>
      <x:c r="I1" s="59"/>
      <x:c r="J1" s="59"/>
      <x:c r="K1" s="59"/>
    </x:row>
    <x:row r="2" ht="18" customHeight="1">
      <x:c r="A2" s="55" t="s">
        <x:v>56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4" t="s">
        <x:v>20</x:v>
      </x:c>
      <x:c r="C4" s="4" t="s">
        <x:v>21</x:v>
      </x:c>
      <x:c r="D4" s="4" t="s">
        <x:v>22</x:v>
      </x:c>
      <x:c r="E4" s="4" t="s">
        <x:v>23</x:v>
      </x:c>
      <x:c r="F4" s="4" t="s">
        <x:v>24</x:v>
      </x:c>
      <x:c r="G4" s="5" t="s">
        <x:v>25</x:v>
      </x:c>
      <x:c r="H4" s="6" t="s">
        <x:v>26</x:v>
      </x:c>
      <x:c r="I4" s="6" t="s">
        <x:v>27</x:v>
      </x:c>
      <x:c r="J4" s="6" t="s">
        <x:v>28</x:v>
      </x:c>
      <x:c r="K4" s="6" t="s">
        <x:v>29</x:v>
      </x:c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>
      <x:c r="A6" s="1" t="s">
        <x:v>57</x:v>
      </x:c>
      <x:c r="B6" s="14">
        <x:v>106005</x:v>
      </x:c>
      <x:c r="C6" s="14">
        <x:v>109120</x:v>
      </x:c>
      <x:c r="D6" s="14">
        <x:v>107412</x:v>
      </x:c>
      <x:c r="E6" s="14">
        <x:v>106566</x:v>
      </x:c>
      <x:c r="F6" s="14">
        <x:v>104780</x:v>
      </x:c>
      <x:c r="G6" s="15" t="n">
        <x:f>F6*(1+Assumptions!G7)</x:f>
        <x:v>105827.8</x:v>
      </x:c>
      <x:c r="H6" s="15" t="n">
        <x:f>G6*(1+Assumptions!H7)</x:f>
        <x:v>107944.356</x:v>
      </x:c>
      <x:c r="I6" s="15" t="n">
        <x:f>H6*(1+Assumptions!I7)</x:f>
        <x:v>110642.96489999999</x:v>
      </x:c>
      <x:c r="J6" s="15" t="n">
        <x:f>I6*(1+Assumptions!J7)</x:f>
        <x:v>113962.253847</x:v>
      </x:c>
      <x:c r="K6" s="15" t="n">
        <x:f>J6*(1+Assumptions!K7)</x:f>
        <x:v>117381.12146241</x:v>
      </x:c>
    </x:row>
    <x:row r="7">
      <x:c r="A7" s="1" t="s">
        <x:v>31</x:v>
      </x:c>
      <x:c r="B7" s="16"/>
      <x:c r="C7" s="16" t="n">
        <x:f t="shared" ref="C7:K7" si="0">C6/B6-1</x:f>
        <x:v>0.02938540634875708</x:v>
      </x:c>
      <x:c r="D7" s="16">
        <x:f t="shared" si="0"/>
        <x:v>-1.5652492668621676E-2</x:v>
      </x:c>
      <x:c r="E7" s="16">
        <x:f t="shared" si="0"/>
        <x:v>-7.876214948050464E-3</x:v>
      </x:c>
      <x:c r="F7" s="16">
        <x:f t="shared" si="0"/>
        <x:v>-1.6759566841206386E-2</x:v>
      </x:c>
      <x:c r="G7" s="17">
        <x:f t="shared" si="0"/>
        <x:v>1.0000000000000009E-2</x:v>
      </x:c>
      <x:c r="H7" s="17">
        <x:f t="shared" si="0"/>
        <x:v>2.0000000000000018E-2</x:v>
      </x:c>
      <x:c r="I7" s="17">
        <x:f t="shared" si="0"/>
        <x:v>2.4999999999999911E-2</x:v>
      </x:c>
      <x:c r="J7" s="17">
        <x:f t="shared" si="0"/>
        <x:v>3.0000000000000027E-2</x:v>
      </x:c>
      <x:c r="K7" s="17">
        <x:f t="shared" si="0"/>
        <x:v>3.0000000000000027E-2</x:v>
      </x:c>
    </x:row>
    <x:row r="8">
      <x:c r="A8" s="1" t="s">
        <x:v>58</x:v>
      </x:c>
      <x:c r="B8" s="14">
        <x:v>74963</x:v>
      </x:c>
      <x:c r="C8" s="14" t="n">
        <x:v>82306</x:v>
      </x:c>
      <x:c r="D8" s="14">
        <x:v>77828</x:v>
      </x:c>
      <x:c r="E8" s="14">
        <x:v>76502</x:v>
      </x:c>
      <x:c r="F8" s="14">
        <x:v>75511</x:v>
      </x:c>
      <x:c r="G8" s="15" t="n">
        <x:f>G6*(1-Assumptions!G8)</x:f>
        <x:v>76301.8438</x:v>
      </x:c>
      <x:c r="H8" s="15" t="n">
        <x:f>H6*(1-Assumptions!H8)</x:f>
        <x:v>77827.880676</x:v>
      </x:c>
      <x:c r="I8" s="15" t="n">
        <x:f>I6*(1-Assumptions!I8)</x:f>
        <x:v>79662.934728</x:v>
      </x:c>
      <x:c r="J8" s="15" t="n">
        <x:f>J6*(1-Assumptions!J8)</x:f>
        <x:v>82052.82276984</x:v>
      </x:c>
      <x:c r="K8" s="15" t="n">
        <x:f>K6*(1-Assumptions!K8)</x:f>
        <x:v>84514.4074529352</x:v>
      </x:c>
    </x:row>
    <x:row r="9">
      <x:c r="A9" s="18" t="s">
        <x:v>59</x:v>
      </x:c>
      <x:c r="B9" s="19" t="n">
        <x:f>B6-B8</x:f>
        <x:v>31042</x:v>
      </x:c>
      <x:c r="C9" s="19" t="n">
        <x:f t="shared" ref="C9:K9" si="1">C6-C8</x:f>
        <x:v>26814</x:v>
      </x:c>
      <x:c r="D9" s="19" t="n">
        <x:f t="shared" si="1">D6-D8</x:f>
        <x:v>29584</x:v>
      </x:c>
      <x:c r="E9" s="19" t="n">
        <x:f t="shared" si="1">E6-E8</x:f>
        <x:v>30064</x:v>
      </x:c>
      <x:c r="F9" s="19" t="n">
        <x:f t="shared" si="1">F6-F8</x:f>
        <x:v>29269</x:v>
      </x:c>
      <x:c r="G9" s="20">
        <x:f t="shared" si="1"/>
        <x:v>29525.956200000001</x:v>
      </x:c>
      <x:c r="H9" s="20">
        <x:f t="shared" si="1"/>
        <x:v>30116.475323999999</x:v>
      </x:c>
      <x:c r="I9" s="20">
        <x:f t="shared" si="1"/>
        <x:v>30980.030171999999</x:v>
      </x:c>
      <x:c r="J9" s="20">
        <x:f t="shared" si="1"/>
        <x:v>31909.431077159999</x:v>
      </x:c>
      <x:c r="K9" s="20">
        <x:f t="shared" si="1"/>
        <x:v>32866.714009474803</x:v>
      </x:c>
    </x:row>
    <x:row r="10">
      <x:c r="A10" s="1" t="s">
        <x:v>32</x:v>
      </x:c>
      <x:c r="B10" s="16" t="n">
        <x:f>B9/B6</x:f>
        <x:v>0.29283524362058394</x:v>
      </x:c>
      <x:c r="C10" s="16" t="n">
        <x:f t="shared" ref="C10:K10" si="2">C9/C6</x:f>
        <x:v>0.24572947214076246</x:v>
      </x:c>
      <x:c r="D10" s="16" t="n">
        <x:f t="shared" si="2">D9/D6</x:f>
        <x:v>0.2754254645663427</x:v>
      </x:c>
      <x:c r="E10" s="16" t="n">
        <x:f t="shared" si="2">E9/E6</x:f>
        <x:v>0.28211624720830286</x:v>
      </x:c>
      <x:c r="F10" s="16" t="n">
        <x:f t="shared" si="2">F9/F6</x:f>
        <x:v>0.2793376598587517</x:v>
      </x:c>
      <x:c r="G10" s="17">
        <x:f t="shared" si="2"/>
        <x:v>0.27899999999999997</x:v>
      </x:c>
      <x:c r="H10" s="17">
        <x:f t="shared" si="2"/>
        <x:v>0.27899999999999997</x:v>
      </x:c>
      <x:c r="I10" s="17">
        <x:f t="shared" si="2"/>
        <x:v>0.28000000000000003</x:v>
      </x:c>
      <x:c r="J10" s="17">
        <x:f t="shared" si="2"/>
        <x:v>0.27999999999999997</x:v>
      </x:c>
      <x:c r="K10" s="17">
        <x:f t="shared" si="2"/>
        <x:v>0.28000000000000003</x:v>
      </x:c>
    </x:row>
    <x:row r="11">
      <x:c r="A11" s="1" t="s">
        <x:v>60</x:v>
      </x:c>
      <x:c r="B11" s="14">
        <x:v>19752</x:v>
      </x:c>
      <x:c r="C11" s="14" t="n">
        <x:v>20581</x:v>
      </x:c>
      <x:c r="D11" s="14">
        <x:v>21462</x:v>
      </x:c>
      <x:c r="E11" s="14">
        <x:v>21969</x:v>
      </x:c>
      <x:c r="F11" s="14">
        <x:v>21535</x:v>
      </x:c>
      <x:c r="G11" s="15" t="n">
        <x:f>G6*Assumptions!G9</x:f>
        <x:v>21694.699</x:v>
      </x:c>
      <x:c r="H11" s="15" t="n">
        <x:f>H6*Assumptions!H9</x:f>
        <x:v>22020.648623999998</x:v>
      </x:c>
      <x:c r="I11" s="15" t="n">
        <x:f>I6*Assumptions!I9</x:f>
        <x:v>22460.5218747</x:v>
      </x:c>
      <x:c r="J11" s="15" t="n">
        <x:f>J6*Assumptions!J9</x:f>
        <x:v>23020.375277094</x:v>
      </x:c>
      <x:c r="K11" s="15" t="n">
        <x:f>K6*Assumptions!K9</x:f>
        <x:v>23593.60541394441</x:v>
      </x:c>
    </x:row>
    <x:row r="12">
      <x:c r="A12" s="1" t="s">
        <x:v>61</x:v>
      </x:c>
      <x:c r="B12" s="14">
        <x:v>2344</x:v>
      </x:c>
      <x:c r="C12" s="14">
        <x:v>2385</x:v>
      </x:c>
      <x:c r="D12" s="14">
        <x:v>2415</x:v>
      </x:c>
      <x:c r="E12" s="14">
        <x:v>2529</x:v>
      </x:c>
      <x:c r="F12" s="14">
        <x:v>2617</x:v>
      </x:c>
      <x:c r="G12" s="15" t="n">
        <x:f>G6*Assumptions!G10</x:f>
        <x:v>2645.695</x:v>
      </x:c>
      <x:c r="H12" s="15" t="n">
        <x:f>H6*Assumptions!H10</x:f>
        <x:v>2698.6089</x:v>
      </x:c>
      <x:c r="I12" s="15" t="n">
        <x:f>I6*Assumptions!I10</x:f>
        <x:v>2766.0741225</x:v>
      </x:c>
      <x:c r="J12" s="15" t="n">
        <x:f>J6*Assumptions!J10</x:f>
        <x:v>2849.0563461750003</x:v>
      </x:c>
      <x:c r="K12" s="15" t="n">
        <x:f>K6*Assumptions!K10</x:f>
        <x:v>2934.5280365602503</x:v>
      </x:c>
    </x:row>
    <x:row r="13">
      <x:c r="A13" s="18" t="s">
        <x:v>62</x:v>
      </x:c>
      <x:c r="B13" s="19" t="n">
        <x:f>SUM(B11:B12)</x:f>
        <x:v>22096</x:v>
      </x:c>
      <x:c r="C13" s="19" t="n">
        <x:f t="shared" ref="C13:K13" si="3">SUM(C11:C12)</x:f>
        <x:v>22966</x:v>
      </x:c>
      <x:c r="D13" s="19" t="n">
        <x:f t="shared" si="3">SUM(D11:D12)</x:f>
        <x:v>23877</x:v>
      </x:c>
      <x:c r="E13" s="19" t="n">
        <x:f t="shared" si="3">SUM(E11:E12)</x:f>
        <x:v>24498</x:v>
      </x:c>
      <x:c r="F13" s="19" t="n">
        <x:f t="shared" si="3">SUM(F11:F12)</x:f>
        <x:v>24152</x:v>
      </x:c>
      <x:c r="G13" s="20">
        <x:f t="shared" si="3"/>
        <x:v>24340.394</x:v>
      </x:c>
      <x:c r="H13" s="20">
        <x:f t="shared" si="3"/>
        <x:v>24719.257523999997</x:v>
      </x:c>
      <x:c r="I13" s="20">
        <x:f t="shared" si="3"/>
        <x:v>25226.595997199998</x:v>
      </x:c>
      <x:c r="J13" s="20">
        <x:f t="shared" si="3"/>
        <x:v>25869.431623269</x:v>
      </x:c>
      <x:c r="K13" s="20">
        <x:f t="shared" si="3"/>
        <x:v>26528.133450504662</x:v>
      </x:c>
    </x:row>
    <x:row r="14">
      <x:c r="A14" s="18" t="s">
        <x:v>63</x:v>
      </x:c>
      <x:c r="B14" s="19">
        <x:v>8946</x:v>
      </x:c>
      <x:c r="C14" s="19">
        <x:v>3848</x:v>
      </x:c>
      <x:c r="D14" s="19">
        <x:v>5707</x:v>
      </x:c>
      <x:c r="E14" s="19">
        <x:v>5566</x:v>
      </x:c>
      <x:c r="F14" s="19">
        <x:v>5117</x:v>
      </x:c>
      <x:c r="G14" s="20" t="n">
        <x:f>G9-G13</x:f>
        <x:v>5185.5622</x:v>
      </x:c>
      <x:c r="H14" s="20" t="n">
        <x:f>H9-H13</x:f>
        <x:v>5397.217800000002</x:v>
      </x:c>
      <x:c r="I14" s="20" t="n">
        <x:f>I9-I13</x:f>
        <x:v>5753.434174800001</x:v>
      </x:c>
      <x:c r="J14" s="20" t="n">
        <x:f>J9-J13</x:f>
        <x:v>6039.999453891</x:v>
      </x:c>
      <x:c r="K14" s="20" t="n">
        <x:f>K9-K13</x:f>
        <x:v>6338.580558970141</x:v>
      </x:c>
    </x:row>
    <x:row r="15">
      <x:c r="A15" s="1" t="s">
        <x:v>64</x:v>
      </x:c>
      <x:c r="B15" s="16" t="n">
        <x:f>B14/B6</x:f>
        <x:v>0.08439224564879015</x:v>
      </x:c>
      <x:c r="C15" s="16" t="n">
        <x:f t="shared" ref="C15:K15" si="4">C14/C6</x:f>
        <x:v>0.03526392961876833</x:v>
      </x:c>
      <x:c r="D15" s="16" t="n">
        <x:f t="shared" si="4">D14/D6</x:f>
        <x:v>0.05313186608572599</x:v>
      </x:c>
      <x:c r="E15" s="16" t="n">
        <x:f t="shared" si="4">E14/E6</x:f>
        <x:v>0.052230542574554735</x:v>
      </x:c>
      <x:c r="F15" s="16" t="n">
        <x:f t="shared" si="4">F14/F6</x:f>
        <x:v>0.048835655659477</x:v>
      </x:c>
      <x:c r="G15" s="17">
        <x:f t="shared" si="4"/>
        <x:v>4.9000000000000002E-2</x:v>
      </x:c>
      <x:c r="H15" s="17">
        <x:f t="shared" si="4"/>
        <x:v>5.0000000000000024E-2</x:v>
      </x:c>
      <x:c r="I15" s="17">
        <x:f t="shared" si="4"/>
        <x:v>5.2000000000000011E-2</x:v>
      </x:c>
      <x:c r="J15" s="17">
        <x:f t="shared" si="4"/>
        <x:v>5.2999999999999999E-2</x:v>
      </x:c>
      <x:c r="K15" s="17">
        <x:f t="shared" si="4"/>
        <x:v>5.4000000000000013E-2</x:v>
      </x:c>
    </x:row>
    <x:row r="16">
      <x:c r="A16" s="1" t="s">
        <x:v>65</x:v>
      </x:c>
      <x:c r="B16" s="14">
        <x:v>421</x:v>
      </x:c>
      <x:c r="C16" s="14">
        <x:v>478</x:v>
      </x:c>
      <x:c r="D16" s="14">
        <x:v>502</x:v>
      </x:c>
      <x:c r="E16" s="14">
        <x:v>411</x:v>
      </x:c>
      <x:c r="F16" s="14">
        <x:v>445</x:v>
      </x:c>
      <x:c r="G16" s="21" t="n">
        <x:f>$F$16</x:f>
        <x:v>445</x:v>
      </x:c>
      <x:c r="H16" s="21" t="n">
        <x:f>$F$16</x:f>
        <x:v>445</x:v>
      </x:c>
      <x:c r="I16" s="21" t="n">
        <x:f>$F$16</x:f>
        <x:v>445</x:v>
      </x:c>
      <x:c r="J16" s="21" t="n">
        <x:f>$F$16</x:f>
        <x:v>445</x:v>
      </x:c>
      <x:c r="K16" s="21" t="n">
        <x:f>$F$16</x:f>
        <x:v>445</x:v>
      </x:c>
    </x:row>
    <x:row r="17">
      <x:c r="A17" s="1" t="s">
        <x:v>66</x:v>
      </x:c>
      <x:c r="B17" s="14">
        <x:v>382</x:v>
      </x:c>
      <x:c r="C17" s="14">
        <x:v>48</x:v>
      </x:c>
      <x:c r="D17" s="14">
        <x:v>92</x:v>
      </x:c>
      <x:c r="E17" s="14">
        <x:v>106</x:v>
      </x:c>
      <x:c r="F17" s="14">
        <x:v>95</x:v>
      </x:c>
      <x:c r="G17" s="21" t="n">
        <x:f>$F$17</x:f>
        <x:v>95</x:v>
      </x:c>
      <x:c r="H17" s="21" t="n">
        <x:f>$F$17</x:f>
        <x:v>95</x:v>
      </x:c>
      <x:c r="I17" s="21" t="n">
        <x:f>$F$17</x:f>
        <x:v>95</x:v>
      </x:c>
      <x:c r="J17" s="21" t="n">
        <x:f>$F$17</x:f>
        <x:v>95</x:v>
      </x:c>
      <x:c r="K17" s="21" t="n">
        <x:f>$F$17</x:f>
        <x:v>95</x:v>
      </x:c>
    </x:row>
    <x:row r="18">
      <x:c r="A18" s="18" t="s">
        <x:v>67</x:v>
      </x:c>
      <x:c r="B18" s="19">
        <x:v>8907</x:v>
      </x:c>
      <x:c r="C18" s="19">
        <x:v>3418</x:v>
      </x:c>
      <x:c r="D18" s="19">
        <x:v>5297</x:v>
      </x:c>
      <x:c r="E18" s="19">
        <x:v>5261</x:v>
      </x:c>
      <x:c r="F18" s="19">
        <x:v>4767</x:v>
      </x:c>
      <x:c r="G18" s="20" t="n">
        <x:f>G14-G16+G17</x:f>
        <x:v>4835.5622</x:v>
      </x:c>
      <x:c r="H18" s="20" t="n">
        <x:f>H14-H16+H17</x:f>
        <x:v>5047.217800000002</x:v>
      </x:c>
      <x:c r="I18" s="20" t="n">
        <x:f>I14-I16+I17</x:f>
        <x:v>5403.434174800001</x:v>
      </x:c>
      <x:c r="J18" s="20" t="n">
        <x:f>J14-J16+J17</x:f>
        <x:v>5689.999453891</x:v>
      </x:c>
      <x:c r="K18" s="20" t="n">
        <x:f>K14-K16+K17</x:f>
        <x:v>5988.580558970141</x:v>
      </x:c>
    </x:row>
    <x:row r="19">
      <x:c r="A19" s="1" t="s">
        <x:v>68</x:v>
      </x:c>
      <x:c r="B19" s="14">
        <x:v>1961</x:v>
      </x:c>
      <x:c r="C19" s="14">
        <x:v>638</x:v>
      </x:c>
      <x:c r="D19" s="14">
        <x:v>1159</x:v>
      </x:c>
      <x:c r="E19" s="14">
        <x:v>1170</x:v>
      </x:c>
      <x:c r="F19" s="14">
        <x:v>1062</x:v>
      </x:c>
      <x:c r="G19" s="15" t="n">
        <x:f>G18*Assumptions!G12</x:f>
        <x:v>1078.3303706000002</x:v>
      </x:c>
      <x:c r="H19" s="15" t="n">
        <x:f>H18*Assumptions!H12</x:f>
        <x:v>1125.5295694000006</x:v>
      </x:c>
      <x:c r="I19" s="15" t="n">
        <x:f>I18*Assumptions!I12</x:f>
        <x:v>1204.9658209804002</x:v>
      </x:c>
      <x:c r="J19" s="15" t="n">
        <x:f>J18*Assumptions!J12</x:f>
        <x:v>1268.869878217693</x:v>
      </x:c>
      <x:c r="K19" s="15" t="n">
        <x:f>K18*Assumptions!K12</x:f>
        <x:v>1335.4534646503416</x:v>
      </x:c>
    </x:row>
    <x:row r="20">
      <x:c r="A20" s="1" t="s">
        <x:v>35</x:v>
      </x:c>
      <x:c r="B20" s="16" t="n">
        <x:f>B19/B18</x:f>
        <x:v>0.220163916021107</x:v>
      </x:c>
      <x:c r="C20" s="16" t="n">
        <x:f t="shared" ref="C20:K20" si="5">C19/C18</x:f>
        <x:v>0.18665886483323582</x:v>
      </x:c>
      <x:c r="D20" s="16" t="n">
        <x:f t="shared" si="5">D19/D18</x:f>
        <x:v>0.2188030960921276</x:v>
      </x:c>
      <x:c r="E20" s="16" t="n">
        <x:f t="shared" si="5">E19/E18</x:f>
        <x:v>0.22239118038395742</x:v>
      </x:c>
      <x:c r="F20" s="16" t="n">
        <x:f t="shared" si="5">F19/F18</x:f>
        <x:v>0.22278162366268092</x:v>
      </x:c>
      <x:c r="G20" s="17">
        <x:f t="shared" si="5"/>
        <x:v>0.223</x:v>
      </x:c>
      <x:c r="H20" s="17">
        <x:f t="shared" si="5"/>
        <x:v>0.22300000000000003</x:v>
      </x:c>
      <x:c r="I20" s="17">
        <x:f t="shared" si="5"/>
        <x:v>0.223</x:v>
      </x:c>
      <x:c r="J20" s="17">
        <x:f t="shared" si="5"/>
        <x:v>0.223</x:v>
      </x:c>
      <x:c r="K20" s="17">
        <x:f t="shared" si="5"/>
        <x:v>0.22300000000000003</x:v>
      </x:c>
    </x:row>
    <x:row r="21">
      <x:c r="A21" s="18" t="s">
        <x:v>69</x:v>
      </x:c>
      <x:c r="B21" s="19">
        <x:v>6946</x:v>
      </x:c>
      <x:c r="C21" s="19">
        <x:v>2780</x:v>
      </x:c>
      <x:c r="D21" s="19">
        <x:v>4138</x:v>
      </x:c>
      <x:c r="E21" s="19">
        <x:v>4091</x:v>
      </x:c>
      <x:c r="F21" s="19">
        <x:v>3705</x:v>
      </x:c>
      <x:c r="G21" s="20" t="n">
        <x:f>G18-G19</x:f>
        <x:v>3757.2318294</x:v>
      </x:c>
      <x:c r="H21" s="20" t="n">
        <x:f>H18-H19</x:f>
        <x:v>3921.6882306000016</x:v>
      </x:c>
      <x:c r="I21" s="20" t="n">
        <x:f>I18-I19</x:f>
        <x:v>4198.4683538196</x:v>
      </x:c>
      <x:c r="J21" s="20" t="n">
        <x:f>J18-J19</x:f>
        <x:v>4421.129575673307</x:v>
      </x:c>
      <x:c r="K21" s="20" t="n">
        <x:f>K18-K19</x:f>
        <x:v>4653.1270943198</x:v>
      </x:c>
    </x:row>
    <x:row r="22">
      <x:c r="A22" s="1" t="s">
        <x:v>70</x:v>
      </x:c>
      <x:c r="B22" s="16" t="n">
        <x:f>B21/B6</x:f>
        <x:v>0.0655252110749493</x:v>
      </x:c>
      <x:c r="C22" s="16" t="n">
        <x:f t="shared" ref="C22:K22" si="6">C21/C6</x:f>
        <x:v>0.025476539589442817</x:v>
      </x:c>
      <x:c r="D22" s="16" t="n">
        <x:f t="shared" si="6">D21/D6</x:f>
        <x:v>0.03852455963951886</x:v>
      </x:c>
      <x:c r="E22" s="16" t="n">
        <x:f t="shared" si="6">E21/E6</x:f>
        <x:v>0.03838935495373759</x:v>
      </x:c>
      <x:c r="F22" s="16" t="n">
        <x:f t="shared" si="6">F21/F6</x:f>
        <x:v>0.03535980148883375</x:v>
      </x:c>
      <x:c r="G22" s="17">
        <x:f t="shared" si="6"/>
        <x:v>3.5503259345842968E-2</x:v>
      </x:c>
      <x:c r="H22" s="17">
        <x:f t="shared" si="6"/>
        <x:v>3.6330646417493118E-2</x:v>
      </x:c>
      <x:c r="I22" s="17">
        <x:f t="shared" si="6"/>
        <x:v>3.7946094065846939E-2</x:v>
      </x:c>
      <x:c r="J22" s="17">
        <x:f t="shared" si="6"/>
        <x:v>3.8794683559074686E-2</x:v>
      </x:c>
      <x:c r="K22" s="17">
        <x:f t="shared" si="6"/>
        <x:v>3.9641187921431745E-2</x:v>
      </x:c>
    </x:row>
    <x:row r="23">
      <x:c r="A23" s="1" t="s">
        <x:v>71</x:v>
      </x:c>
      <x:c r="B23" s="22">
        <x:v>488.1</x:v>
      </x:c>
      <x:c r="C23" s="22">
        <x:v>462.1</x:v>
      </x:c>
      <x:c r="D23" s="22">
        <x:v>461.5</x:v>
      </x:c>
      <x:c r="E23" s="22">
        <x:v>460.4</x:v>
      </x:c>
      <x:c r="F23" s="22">
        <x:v>454.1</x:v>
      </x:c>
      <x:c r="G23" s="23" t="n">
        <x:f>$F$23</x:f>
        <x:v>454.1</x:v>
      </x:c>
      <x:c r="H23" s="23" t="n">
        <x:f>$F$23</x:f>
        <x:v>454.1</x:v>
      </x:c>
      <x:c r="I23" s="23" t="n">
        <x:f>$F$23</x:f>
        <x:v>454.1</x:v>
      </x:c>
      <x:c r="J23" s="23" t="n">
        <x:f>$F$23</x:f>
        <x:v>454.1</x:v>
      </x:c>
      <x:c r="K23" s="23" t="n">
        <x:f>$F$23</x:f>
        <x:v>454.1</x:v>
      </x:c>
    </x:row>
    <x:row r="24">
      <x:c r="A24" s="1" t="s">
        <x:v>72</x:v>
      </x:c>
      <x:c r="B24" s="22">
        <x:v>492.7</x:v>
      </x:c>
      <x:c r="C24" s="22">
        <x:v>464.7</x:v>
      </x:c>
      <x:c r="D24" s="22">
        <x:v>462.8</x:v>
      </x:c>
      <x:c r="E24" s="22">
        <x:v>461.8</x:v>
      </x:c>
      <x:c r="F24" s="22">
        <x:v>455.6</x:v>
      </x:c>
      <x:c r="G24" s="23" t="n">
        <x:f>$F$24</x:f>
        <x:v>455.6</x:v>
      </x:c>
      <x:c r="H24" s="23" t="n">
        <x:f>$F$24</x:f>
        <x:v>455.6</x:v>
      </x:c>
      <x:c r="I24" s="23" t="n">
        <x:f>$F$24</x:f>
        <x:v>455.6</x:v>
      </x:c>
      <x:c r="J24" s="23" t="n">
        <x:f>$F$24</x:f>
        <x:v>455.6</x:v>
      </x:c>
      <x:c r="K24" s="23" t="n">
        <x:f>$F$24</x:f>
        <x:v>455.6</x:v>
      </x:c>
    </x:row>
    <x:row r="25">
      <x:c r="A25" s="1" t="s">
        <x:v>73</x:v>
      </x:c>
      <x:c r="B25" s="22">
        <x:v>14.23</x:v>
      </x:c>
      <x:c r="C25" s="22">
        <x:v>6.02</x:v>
      </x:c>
      <x:c r="D25" s="22">
        <x:v>8.9600000000000009</x:v>
      </x:c>
      <x:c r="E25" s="22">
        <x:v>8.89</x:v>
      </x:c>
      <x:c r="F25" s="22">
        <x:v>8.16</x:v>
      </x:c>
      <x:c r="G25" s="23" t="n">
        <x:f>G21/G23</x:f>
        <x:v>8.274018562871614</x:v>
      </x:c>
      <x:c r="H25" s="23" t="n">
        <x:f>H21/H23</x:f>
        <x:v>8.636177561330106</x:v>
      </x:c>
      <x:c r="I25" s="23" t="n">
        <x:f>I21/I23</x:f>
        <x:v>9.245691155735742</x:v>
      </x:c>
      <x:c r="J25" s="23" t="n">
        <x:f>J21/J23</x:f>
        <x:v>9.736026372326155</x:v>
      </x:c>
      <x:c r="K25" s="23" t="n">
        <x:f>K21/K23</x:f>
        <x:v>10.246921590662408</x:v>
      </x:c>
    </x:row>
    <x:row r="26">
      <x:c r="A26" s="1" t="s">
        <x:v>74</x:v>
      </x:c>
      <x:c r="B26" s="22">
        <x:v>14.1</x:v>
      </x:c>
      <x:c r="C26" s="22">
        <x:v>5.98</x:v>
      </x:c>
      <x:c r="D26" s="22">
        <x:v>8.94</x:v>
      </x:c>
      <x:c r="E26" s="22">
        <x:v>8.86</x:v>
      </x:c>
      <x:c r="F26" s="22">
        <x:v>8.1300000000000008</x:v>
      </x:c>
      <x:c r="G26" s="23" t="n">
        <x:f>G21/G24</x:f>
        <x:v>8.246777500877963</x:v>
      </x:c>
      <x:c r="H26" s="23" t="n">
        <x:f>H21/H24</x:f>
        <x:v>8.607744140913084</x:v>
      </x:c>
      <x:c r="I26" s="23" t="n">
        <x:f>I21/I24</x:f>
        <x:v>9.215250996092186</x:v>
      </x:c>
      <x:c r="J26" s="23" t="n">
        <x:f>J21/J24</x:f>
        <x:v>9.703971851785134</x:v>
      </x:c>
      <x:c r="K26" s="23" t="n">
        <x:f>K21/K24</x:f>
        <x:v>10.213185018261193</x:v>
      </x:c>
    </x:row>
  </x:sheetData>
  <x:mergeCells>
    <x:mergeCell ref="A1:K1"/>
    <x:mergeCell ref="A2:K2"/>
  </x:mergeCells>
  <x:pageMargins left="0.7" right="0.7" top="0.75" bottom="0.75" header="0.3" footer="0.3"/>
  <x:drawing xmlns:r="http://schemas.openxmlformats.org/officeDocument/2006/relationships" r:id="R28777584eba6496f"/>
  <x:legacyDrawing xmlns:r="http://schemas.openxmlformats.org/officeDocument/2006/relationships" r:id="R9c43f3666e19490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40" customWidth="1"/>
    <x:col min="2" max="11" width="13" customWidth="1"/>
  </x:cols>
  <x:sheetData>
    <x:row r="1" ht="26" customHeight="1">
      <x:c r="A1" s="59" t="s">
        <x:v>75</x:v>
      </x:c>
      <x:c r="B1" s="59"/>
      <x:c r="C1" s="59"/>
      <x:c r="D1" s="59"/>
      <x:c r="E1" s="59"/>
      <x:c r="F1" s="59"/>
      <x:c r="G1" s="59"/>
      <x:c r="H1" s="59"/>
      <x:c r="I1" s="59"/>
      <x:c r="J1" s="59"/>
      <x:c r="K1" s="59"/>
    </x:row>
    <x:row r="2" ht="18" customHeight="1">
      <x:c r="A2" s="55" t="s">
        <x:v>56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4" t="s">
        <x:v>20</x:v>
      </x:c>
      <x:c r="C4" s="4" t="s">
        <x:v>21</x:v>
      </x:c>
      <x:c r="D4" s="4" t="s">
        <x:v>22</x:v>
      </x:c>
      <x:c r="E4" s="4" t="s">
        <x:v>23</x:v>
      </x:c>
      <x:c r="F4" s="4" t="s">
        <x:v>24</x:v>
      </x:c>
      <x:c r="G4" s="5" t="s">
        <x:v>25</x:v>
      </x:c>
      <x:c r="H4" s="6" t="s">
        <x:v>26</x:v>
      </x:c>
      <x:c r="I4" s="6" t="s">
        <x:v>27</x:v>
      </x:c>
      <x:c r="J4" s="6" t="s">
        <x:v>28</x:v>
      </x:c>
      <x:c r="K4" s="6" t="s">
        <x:v>29</x:v>
      </x:c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>
      <x:c r="A6" s="1" t="s">
        <x:v>76</x:v>
      </x:c>
      <x:c r="B6" s="14">
        <x:v>5911</x:v>
      </x:c>
      <x:c r="C6" s="14">
        <x:v>2229</x:v>
      </x:c>
      <x:c r="D6" s="14">
        <x:v>3805</x:v>
      </x:c>
      <x:c r="E6" s="14">
        <x:v>4762</x:v>
      </x:c>
      <x:c r="F6" s="14">
        <x:v>5488</x:v>
      </x:c>
      <x:c r="G6" s="15" t="n">
        <x:f>'Cash Flow Statement'!G31</x:f>
        <x:v>6929.660971112399</x:v>
      </x:c>
      <x:c r="H6" s="15" t="n">
        <x:f>'Cash Flow Statement'!H31</x:f>
        <x:v>8481.648693464002</x:v>
      </x:c>
      <x:c r="I6" s="15" t="n">
        <x:f>'Cash Flow Statement'!I31</x:f>
        <x:v>10164.50734577554</x:v>
      </x:c>
      <x:c r="J6" s="15" t="n">
        <x:f>'Cash Flow Statement'!J31</x:f>
        <x:v>11954.478359416195</x:v>
      </x:c>
      <x:c r="K6" s="15" t="n">
        <x:f>'Cash Flow Statement'!K31</x:f>
        <x:v>13842.464683059894</x:v>
      </x:c>
    </x:row>
    <x:row r="7">
      <x:c r="A7" s="1" t="s">
        <x:v>77</x:v>
      </x:c>
      <x:c r="B7" s="14">
        <x:v>13902</x:v>
      </x:c>
      <x:c r="C7" s="14">
        <x:v>13499</x:v>
      </x:c>
      <x:c r="D7" s="14">
        <x:v>11886</x:v>
      </x:c>
      <x:c r="E7" s="14">
        <x:v>12740</x:v>
      </x:c>
      <x:c r="F7" s="14">
        <x:v>12304</x:v>
      </x:c>
      <x:c r="G7" s="15" t="n">
        <x:f>'Income Statement'!G8*Assumptions!G15</x:f>
        <x:v>12437.2005394</x:v>
      </x:c>
      <x:c r="H7" s="15" t="n">
        <x:f>'Income Statement'!H8*Assumptions!H15</x:f>
        <x:v>12685.944550188</x:v>
      </x:c>
      <x:c r="I7" s="15" t="n">
        <x:f>'Income Statement'!I8*Assumptions!I15</x:f>
        <x:v>12985.058360664</x:v>
      </x:c>
      <x:c r="J7" s="15" t="n">
        <x:f>'Income Statement'!J8*Assumptions!J15</x:f>
        <x:v>13374.61011148392</x:v>
      </x:c>
      <x:c r="K7" s="15" t="n">
        <x:f>'Income Statement'!K8*Assumptions!K15</x:f>
        <x:v>13775.848414828437</x:v>
      </x:c>
    </x:row>
    <x:row r="8">
      <x:c r="A8" s="1" t="s">
        <x:v>78</x:v>
      </x:c>
      <x:c r="B8" s="14">
        <x:v>1760</x:v>
      </x:c>
      <x:c r="C8" s="14">
        <x:v>2118</x:v>
      </x:c>
      <x:c r="D8" s="14">
        <x:v>1807</x:v>
      </x:c>
      <x:c r="E8" s="14">
        <x:v>1952</x:v>
      </x:c>
      <x:c r="F8" s="14">
        <x:v>2213</x:v>
      </x:c>
      <x:c r="G8" s="15" t="n">
        <x:f>'Income Statement'!G6*Assumptions!G17</x:f>
        <x:v>2232.9665800000002</x:v>
      </x:c>
      <x:c r="H8" s="15" t="n">
        <x:f>'Income Statement'!H6*Assumptions!H17</x:f>
        <x:v>2277.6259116</x:v>
      </x:c>
      <x:c r="I8" s="15" t="n">
        <x:f>'Income Statement'!I6*Assumptions!I17</x:f>
        <x:v>2334.56655939</x:v>
      </x:c>
      <x:c r="J8" s="15" t="n">
        <x:f>'Income Statement'!J6*Assumptions!J17</x:f>
        <x:v>2404.6035561717</x:v>
      </x:c>
      <x:c r="K8" s="15" t="n">
        <x:f>'Income Statement'!K6*Assumptions!K17</x:f>
        <x:v>2476.741662856851</x:v>
      </x:c>
    </x:row>
    <x:row r="9">
      <x:c r="A9" s="18" t="s">
        <x:v>79</x:v>
      </x:c>
      <x:c r="B9" s="19">
        <x:v>21573</x:v>
      </x:c>
      <x:c r="C9" s="19">
        <x:v>17846</x:v>
      </x:c>
      <x:c r="D9" s="19">
        <x:v>17498</x:v>
      </x:c>
      <x:c r="E9" s="19">
        <x:v>19454</x:v>
      </x:c>
      <x:c r="F9" s="19">
        <x:v>20005</x:v>
      </x:c>
      <x:c r="G9" s="20" t="n">
        <x:f>SUM(G6:G8)</x:f>
        <x:v>21599.8280905124</x:v>
      </x:c>
      <x:c r="H9" s="20" t="n">
        <x:f>SUM(H6:H8)</x:f>
        <x:v>23445.219155252</x:v>
      </x:c>
      <x:c r="I9" s="20" t="n">
        <x:f>SUM(I6:I8)</x:f>
        <x:v>25484.132265829543</x:v>
      </x:c>
      <x:c r="J9" s="20" t="n">
        <x:f>SUM(J6:J8)</x:f>
        <x:v>27733.692027071815</x:v>
      </x:c>
      <x:c r="K9" s="20" t="n">
        <x:f>SUM(K6:K8)</x:f>
        <x:v>30095.05476074518</x:v>
      </x:c>
    </x:row>
    <x:row r="10">
      <x:c r="A10" s="1" t="s">
        <x:v>80</x:v>
      </x:c>
      <x:c r="B10" s="14">
        <x:v>28181</x:v>
      </x:c>
      <x:c r="C10" s="14">
        <x:v>31512</x:v>
      </x:c>
      <x:c r="D10" s="14">
        <x:v>33096</x:v>
      </x:c>
      <x:c r="E10" s="14">
        <x:v>33022</x:v>
      </x:c>
      <x:c r="F10" s="14">
        <x:v>33749</x:v>
      </x:c>
      <x:c r="G10" s="15" t="n">
        <x:f>F10-'Cash Flow Statement'!G17-'Cash Flow Statement'!G7</x:f>
        <x:v>34278.138999999996</x:v>
      </x:c>
      <x:c r="H10" s="15" t="n">
        <x:f>G10-'Cash Flow Statement'!H17-'Cash Flow Statement'!H7</x:f>
        <x:v>34817.860779999995</x:v>
      </x:c>
      <x:c r="I10" s="15" t="n">
        <x:f>H10-'Cash Flow Statement'!I17-'Cash Flow Statement'!I7</x:f>
        <x:v>35371.075604499994</x:v>
      </x:c>
      <x:c r="J10" s="15" t="n">
        <x:f>I10-'Cash Flow Statement'!J17-'Cash Flow Statement'!J7</x:f>
        <x:v>35940.88687373499</x:v>
      </x:c>
      <x:c r="K10" s="15" t="n">
        <x:f>J10-'Cash Flow Statement'!K17-'Cash Flow Statement'!K7</x:f>
        <x:v>36527.79248104704</x:v>
      </x:c>
    </x:row>
    <x:row r="11">
      <x:c r="A11" s="1" t="s">
        <x:v>81</x:v>
      </x:c>
      <x:c r="B11" s="14">
        <x:v>2556</x:v>
      </x:c>
      <x:c r="C11" s="14">
        <x:v>2657</x:v>
      </x:c>
      <x:c r="D11" s="14">
        <x:v>3362</x:v>
      </x:c>
      <x:c r="E11" s="14">
        <x:v>3763</x:v>
      </x:c>
      <x:c r="F11" s="14">
        <x:v>3703</x:v>
      </x:c>
      <x:c r="G11" s="21" t="n">
        <x:f>$F$11</x:f>
        <x:v>3703</x:v>
      </x:c>
      <x:c r="H11" s="21" t="n">
        <x:f>$F$11</x:f>
        <x:v>3703</x:v>
      </x:c>
      <x:c r="I11" s="21" t="n">
        <x:f>$F$11</x:f>
        <x:v>3703</x:v>
      </x:c>
      <x:c r="J11" s="21" t="n">
        <x:f>$F$11</x:f>
        <x:v>3703</x:v>
      </x:c>
      <x:c r="K11" s="21" t="n">
        <x:f>$F$11</x:f>
        <x:v>3703</x:v>
      </x:c>
    </x:row>
    <x:row r="12">
      <x:c r="A12" s="1" t="s">
        <x:v>82</x:v>
      </x:c>
      <x:c r="B12" s="14">
        <x:v>1501</x:v>
      </x:c>
      <x:c r="C12" s="14">
        <x:v>1320</x:v>
      </x:c>
      <x:c r="D12" s="14">
        <x:v>1400</x:v>
      </x:c>
      <x:c r="E12" s="14">
        <x:v>1530</x:v>
      </x:c>
      <x:c r="F12" s="14">
        <x:v>2033</x:v>
      </x:c>
      <x:c r="G12" s="15" t="n">
        <x:f>'Income Statement'!G6*Assumptions!G19</x:f>
        <x:v>2053.0593200000003</x:v>
      </x:c>
      <x:c r="H12" s="15" t="n">
        <x:f>'Income Statement'!H6*Assumptions!H19</x:f>
        <x:v>2094.1205064</x:v>
      </x:c>
      <x:c r="I12" s="15" t="n">
        <x:f>'Income Statement'!I6*Assumptions!I19</x:f>
        <x:v>2146.47351906</x:v>
      </x:c>
      <x:c r="J12" s="15" t="n">
        <x:f>'Income Statement'!J6*Assumptions!J19</x:f>
        <x:v>2210.8677246318002</x:v>
      </x:c>
      <x:c r="K12" s="15" t="n">
        <x:f>'Income Statement'!K6*Assumptions!K19</x:f>
        <x:v>2277.193756370754</x:v>
      </x:c>
    </x:row>
    <x:row r="13">
      <x:c r="A13" s="18" t="s">
        <x:v>83</x:v>
      </x:c>
      <x:c r="B13" s="19">
        <x:v>53811</x:v>
      </x:c>
      <x:c r="C13" s="19">
        <x:v>53335</x:v>
      </x:c>
      <x:c r="D13" s="19">
        <x:v>55356</x:v>
      </x:c>
      <x:c r="E13" s="19">
        <x:v>57769</x:v>
      </x:c>
      <x:c r="F13" s="19">
        <x:v>59490</x:v>
      </x:c>
      <x:c r="G13" s="20" t="n">
        <x:f>SUM(G9:G12)</x:f>
        <x:v>61634.02641051239</x:v>
      </x:c>
      <x:c r="H13" s="20" t="n">
        <x:f>SUM(H9:H12)</x:f>
        <x:v>64060.200441652</x:v>
      </x:c>
      <x:c r="I13" s="20" t="n">
        <x:f>SUM(I9:I12)</x:f>
        <x:v>66704.68138938955</x:v>
      </x:c>
      <x:c r="J13" s="20" t="n">
        <x:f>SUM(J9:J12)</x:f>
        <x:v>69588.4466254386</x:v>
      </x:c>
      <x:c r="K13" s="20" t="n">
        <x:f>SUM(K9:K12)</x:f>
        <x:v>72603.04099816296</x:v>
      </x:c>
    </x:row>
    <x:row r="14">
      <x:c r="A14" s="1" t="s">
        <x:v>84</x:v>
      </x:c>
      <x:c r="B14" s="14">
        <x:v>15478</x:v>
      </x:c>
      <x:c r="C14" s="14">
        <x:v>13487</x:v>
      </x:c>
      <x:c r="D14" s="14">
        <x:v>12098</x:v>
      </x:c>
      <x:c r="E14" s="14">
        <x:v>13053</x:v>
      </x:c>
      <x:c r="F14" s="14">
        <x:v>12622</x:v>
      </x:c>
      <x:c r="G14" s="15" t="n">
        <x:f>'Income Statement'!G8*Assumptions!G16</x:f>
        <x:v>12742.4079146</x:v>
      </x:c>
      <x:c r="H14" s="15" t="n">
        <x:f>'Income Statement'!H8*Assumptions!H16</x:f>
        <x:v>12997.256072892002</x:v>
      </x:c>
      <x:c r="I14" s="15" t="n">
        <x:f>'Income Statement'!I8*Assumptions!I16</x:f>
        <x:v>13303.710099576</x:v>
      </x:c>
      <x:c r="J14" s="15" t="n">
        <x:f>'Income Statement'!J8*Assumptions!J16</x:f>
        <x:v>13702.82140256328</x:v>
      </x:c>
      <x:c r="K14" s="15" t="n">
        <x:f>'Income Statement'!K8*Assumptions!K16</x:f>
        <x:v>14113.906044640178</x:v>
      </x:c>
    </x:row>
    <x:row r="15">
      <x:c r="A15" s="1" t="s">
        <x:v>85</x:v>
      </x:c>
      <x:c r="B15" s="14">
        <x:v>6098</x:v>
      </x:c>
      <x:c r="C15" s="14">
        <x:v>5883</x:v>
      </x:c>
      <x:c r="D15" s="14">
        <x:v>6090</x:v>
      </x:c>
      <x:c r="E15" s="14">
        <x:v>6110</x:v>
      </x:c>
      <x:c r="F15" s="14">
        <x:v>6478</x:v>
      </x:c>
      <x:c r="G15" s="15" t="n">
        <x:f>'Income Statement'!G6*Assumptions!G18</x:f>
        <x:v>6540.15804</x:v>
      </x:c>
      <x:c r="H15" s="15" t="n">
        <x:f>'Income Statement'!H6*Assumptions!H18</x:f>
        <x:v>6670.9612008</x:v>
      </x:c>
      <x:c r="I15" s="15" t="n">
        <x:f>'Income Statement'!I6*Assumptions!I18</x:f>
        <x:v>6837.73523082</x:v>
      </x:c>
      <x:c r="J15" s="15" t="n">
        <x:f>'Income Statement'!J6*Assumptions!J18</x:f>
        <x:v>7042.8672877446</x:v>
      </x:c>
      <x:c r="K15" s="15" t="n">
        <x:f>'Income Statement'!K6*Assumptions!K18</x:f>
        <x:v>7254.1533063769375</x:v>
      </x:c>
    </x:row>
    <x:row r="16">
      <x:c r="A16" s="1" t="s">
        <x:v>86</x:v>
      </x:c>
      <x:c r="B16" s="14">
        <x:v>171</x:v>
      </x:c>
      <x:c r="C16" s="14">
        <x:v>130</x:v>
      </x:c>
      <x:c r="D16" s="14">
        <x:v>1116</x:v>
      </x:c>
      <x:c r="E16" s="14">
        <x:v>1636</x:v>
      </x:c>
      <x:c r="F16" s="14">
        <x:v>2130</x:v>
      </x:c>
      <x:c r="G16" s="21" t="n">
        <x:f>$F$16</x:f>
        <x:v>2130</x:v>
      </x:c>
      <x:c r="H16" s="21" t="n">
        <x:f>$F$16</x:f>
        <x:v>2130</x:v>
      </x:c>
      <x:c r="I16" s="21" t="n">
        <x:f>$F$16</x:f>
        <x:v>2130</x:v>
      </x:c>
      <x:c r="J16" s="21" t="n">
        <x:f>$F$16</x:f>
        <x:v>2130</x:v>
      </x:c>
      <x:c r="K16" s="21" t="n">
        <x:f>$F$16</x:f>
        <x:v>2130</x:v>
      </x:c>
    </x:row>
    <x:row r="17">
      <x:c r="A17" s="18" t="s">
        <x:v>87</x:v>
      </x:c>
      <x:c r="B17" s="19">
        <x:v>21747</x:v>
      </x:c>
      <x:c r="C17" s="19">
        <x:v>19500</x:v>
      </x:c>
      <x:c r="D17" s="19">
        <x:v>19304</x:v>
      </x:c>
      <x:c r="E17" s="19">
        <x:v>20799</x:v>
      </x:c>
      <x:c r="F17" s="19">
        <x:v>21230</x:v>
      </x:c>
      <x:c r="G17" s="20" t="n">
        <x:f>SUM(G14:G16)</x:f>
        <x:v>21412.565954600002</x:v>
      </x:c>
      <x:c r="H17" s="20" t="n">
        <x:f>SUM(H14:H16)</x:f>
        <x:v>21798.217273692004</x:v>
      </x:c>
      <x:c r="I17" s="20" t="n">
        <x:f>SUM(I14:I16)</x:f>
        <x:v>22271.445330396</x:v>
      </x:c>
      <x:c r="J17" s="20" t="n">
        <x:f>SUM(J14:J16)</x:f>
        <x:v>22875.68869030788</x:v>
      </x:c>
      <x:c r="K17" s="20" t="n">
        <x:f>SUM(K14:K16)</x:f>
        <x:v>23498.059351017117</x:v>
      </x:c>
    </x:row>
    <x:row r="18">
      <x:c r="A18" s="1" t="s">
        <x:v>88</x:v>
      </x:c>
      <x:c r="B18" s="14">
        <x:v>13549</x:v>
      </x:c>
      <x:c r="C18" s="14">
        <x:v>16009</x:v>
      </x:c>
      <x:c r="D18" s="14">
        <x:v>14922</x:v>
      </x:c>
      <x:c r="E18" s="14">
        <x:v>14304</x:v>
      </x:c>
      <x:c r="F18" s="14">
        <x:v>14326</x:v>
      </x:c>
      <x:c r="G18" s="21" t="n">
        <x:f>$F$18</x:f>
        <x:v>14326</x:v>
      </x:c>
      <x:c r="H18" s="21" t="n">
        <x:f>$F$18</x:f>
        <x:v>14326</x:v>
      </x:c>
      <x:c r="I18" s="21" t="n">
        <x:f>$F$18</x:f>
        <x:v>14326</x:v>
      </x:c>
      <x:c r="J18" s="21" t="n">
        <x:f>$F$18</x:f>
        <x:v>14326</x:v>
      </x:c>
      <x:c r="K18" s="21" t="n">
        <x:f>$F$18</x:f>
        <x:v>14326</x:v>
      </x:c>
    </x:row>
    <x:row r="19">
      <x:c r="A19" s="1" t="s">
        <x:v>89</x:v>
      </x:c>
      <x:c r="B19" s="14">
        <x:v>2493</x:v>
      </x:c>
      <x:c r="C19" s="14">
        <x:v>2638</x:v>
      </x:c>
      <x:c r="D19" s="14">
        <x:v>3279</x:v>
      </x:c>
      <x:c r="E19" s="14">
        <x:v>3582</x:v>
      </x:c>
      <x:c r="F19" s="14">
        <x:v>3462</x:v>
      </x:c>
      <x:c r="G19" s="21" t="n">
        <x:f>$F$19</x:f>
        <x:v>3462</x:v>
      </x:c>
      <x:c r="H19" s="21" t="n">
        <x:f>$F$19</x:f>
        <x:v>3462</x:v>
      </x:c>
      <x:c r="I19" s="21" t="n">
        <x:f>$F$19</x:f>
        <x:v>3462</x:v>
      </x:c>
      <x:c r="J19" s="21" t="n">
        <x:f>$F$19</x:f>
        <x:v>3462</x:v>
      </x:c>
      <x:c r="K19" s="21" t="n">
        <x:f>$F$19</x:f>
        <x:v>3462</x:v>
      </x:c>
    </x:row>
    <x:row r="20">
      <x:c r="A20" s="1" t="s">
        <x:v>90</x:v>
      </x:c>
      <x:c r="B20" s="14">
        <x:v>1566</x:v>
      </x:c>
      <x:c r="C20" s="14">
        <x:v>2196</x:v>
      </x:c>
      <x:c r="D20" s="14">
        <x:v>2480</x:v>
      </x:c>
      <x:c r="E20" s="14">
        <x:v>2303</x:v>
      </x:c>
      <x:c r="F20" s="14">
        <x:v>2265</x:v>
      </x:c>
      <x:c r="G20" s="21" t="n">
        <x:f>$F$20</x:f>
        <x:v>2265</x:v>
      </x:c>
      <x:c r="H20" s="21" t="n">
        <x:f>$F$20</x:f>
        <x:v>2265</x:v>
      </x:c>
      <x:c r="I20" s="21" t="n">
        <x:f>$F$20</x:f>
        <x:v>2265</x:v>
      </x:c>
      <x:c r="J20" s="21" t="n">
        <x:f>$F$20</x:f>
        <x:v>2265</x:v>
      </x:c>
      <x:c r="K20" s="21" t="n">
        <x:f>$F$20</x:f>
        <x:v>2265</x:v>
      </x:c>
    </x:row>
    <x:row r="21">
      <x:c r="A21" s="1" t="s">
        <x:v>91</x:v>
      </x:c>
      <x:c r="B21" s="14">
        <x:v>1629</x:v>
      </x:c>
      <x:c r="C21" s="14">
        <x:v>1760</x:v>
      </x:c>
      <x:c r="D21" s="14">
        <x:v>1939</x:v>
      </x:c>
      <x:c r="E21" s="14">
        <x:v>2115</x:v>
      </x:c>
      <x:c r="F21" s="14">
        <x:v>2042</x:v>
      </x:c>
      <x:c r="G21" s="21" t="n">
        <x:f>$F$21</x:f>
        <x:v>2042</x:v>
      </x:c>
      <x:c r="H21" s="21" t="n">
        <x:f>$F$21</x:f>
        <x:v>2042</x:v>
      </x:c>
      <x:c r="I21" s="21" t="n">
        <x:f>$F$21</x:f>
        <x:v>2042</x:v>
      </x:c>
      <x:c r="J21" s="21" t="n">
        <x:f>$F$21</x:f>
        <x:v>2042</x:v>
      </x:c>
      <x:c r="K21" s="21" t="n">
        <x:f>$F$21</x:f>
        <x:v>2042</x:v>
      </x:c>
    </x:row>
    <x:row r="22">
      <x:c r="A22" s="18" t="s">
        <x:v>92</x:v>
      </x:c>
      <x:c r="B22" s="19">
        <x:v>19237</x:v>
      </x:c>
      <x:c r="C22" s="19">
        <x:v>22603</x:v>
      </x:c>
      <x:c r="D22" s="19">
        <x:v>22620</x:v>
      </x:c>
      <x:c r="E22" s="19">
        <x:v>22304</x:v>
      </x:c>
      <x:c r="F22" s="19">
        <x:v>22095</x:v>
      </x:c>
      <x:c r="G22" s="20" t="n">
        <x:f>SUM(G18:G21)</x:f>
        <x:v>22095</x:v>
      </x:c>
      <x:c r="H22" s="20" t="n">
        <x:f>SUM(H18:H21)</x:f>
        <x:v>22095</x:v>
      </x:c>
      <x:c r="I22" s="20" t="n">
        <x:f>SUM(I18:I21)</x:f>
        <x:v>22095</x:v>
      </x:c>
      <x:c r="J22" s="20" t="n">
        <x:f>SUM(J18:J21)</x:f>
        <x:v>22095</x:v>
      </x:c>
      <x:c r="K22" s="20" t="n">
        <x:f>SUM(K18:K21)</x:f>
        <x:v>22095</x:v>
      </x:c>
    </x:row>
    <x:row r="23">
      <x:c r="A23" s="1" t="s">
        <x:v>93</x:v>
      </x:c>
      <x:c r="B23" s="14">
        <x:v>39</x:v>
      </x:c>
      <x:c r="C23" s="14">
        <x:v>38</x:v>
      </x:c>
      <x:c r="D23" s="14">
        <x:v>38</x:v>
      </x:c>
      <x:c r="E23" s="14">
        <x:v>38</x:v>
      </x:c>
      <x:c r="F23" s="14">
        <x:v>38</x:v>
      </x:c>
      <x:c r="G23" s="21" t="n">
        <x:f>$F$23</x:f>
        <x:v>38</x:v>
      </x:c>
      <x:c r="H23" s="21" t="n">
        <x:f>$F$23</x:f>
        <x:v>38</x:v>
      </x:c>
      <x:c r="I23" s="21" t="n">
        <x:f>$F$23</x:f>
        <x:v>38</x:v>
      </x:c>
      <x:c r="J23" s="21" t="n">
        <x:f>$F$23</x:f>
        <x:v>38</x:v>
      </x:c>
      <x:c r="K23" s="21" t="n">
        <x:f>$F$23</x:f>
        <x:v>38</x:v>
      </x:c>
    </x:row>
    <x:row r="24">
      <x:c r="A24" s="1" t="s">
        <x:v>94</x:v>
      </x:c>
      <x:c r="B24" s="14">
        <x:v>6421</x:v>
      </x:c>
      <x:c r="C24" s="14">
        <x:v>6608</x:v>
      </x:c>
      <x:c r="D24" s="14">
        <x:v>6761</x:v>
      </x:c>
      <x:c r="E24" s="14">
        <x:v>6996</x:v>
      </x:c>
      <x:c r="F24" s="14">
        <x:v>7247</x:v>
      </x:c>
      <x:c r="G24" s="15" t="n">
        <x:f>F24+'Cash Flow Statement'!G8</x:f>
        <x:v>7532.73506</x:v>
      </x:c>
      <x:c r="H24" s="15" t="n">
        <x:f>G24+'Cash Flow Statement'!H8</x:f>
        <x:v>7824.1848212</x:v>
      </x:c>
      <x:c r="I24" s="15" t="n">
        <x:f>H24+'Cash Flow Statement'!I8</x:f>
        <x:v>8122.9208264300005</x:v>
      </x:c>
      <x:c r="J24" s="15" t="n">
        <x:f>I24+'Cash Flow Statement'!J8</x:f>
        <x:v>8430.6189118169</x:v>
      </x:c>
      <x:c r="K24" s="15" t="n">
        <x:f>J24+'Cash Flow Statement'!K8</x:f>
        <x:v>8747.547939765407</x:v>
      </x:c>
    </x:row>
    <x:row r="25">
      <x:c r="A25" s="1" t="s">
        <x:v>95</x:v>
      </x:c>
      <x:c r="B25" s="14">
        <x:v>6920</x:v>
      </x:c>
      <x:c r="C25" s="14">
        <x:v>5005</x:v>
      </x:c>
      <x:c r="D25" s="14">
        <x:v>7093</x:v>
      </x:c>
      <x:c r="E25" s="14">
        <x:v>8090</x:v>
      </x:c>
      <x:c r="F25" s="14">
        <x:v>9297</x:v>
      </x:c>
      <x:c r="G25" s="15" t="n">
        <x:f>F25+'Income Statement'!G21+'Cash Flow Statement'!G25</x:f>
        <x:v>10972.7253959124</x:v>
      </x:c>
      <x:c r="H25" s="15" t="n">
        <x:f>G25+'Income Statement'!H21+'Cash Flow Statement'!H25</x:f>
        <x:v>12721.798346759999</x:v>
      </x:c>
      <x:c r="I25" s="15" t="n">
        <x:f>H25+'Income Statement'!I21+'Cash Flow Statement'!I25</x:f>
        <x:v>14594.31523256354</x:v>
      </x:c>
      <x:c r="J25" s="15" t="n">
        <x:f>I25+'Income Statement'!J21+'Cash Flow Statement'!J25</x:f>
        <x:v>16566.139023313834</x:v>
      </x:c>
      <x:c r="K25" s="15" t="n">
        <x:f>J25+'Income Statement'!K21+'Cash Flow Statement'!K25</x:f>
        <x:v>18641.433707380464</x:v>
      </x:c>
    </x:row>
    <x:row r="26">
      <x:c r="A26" s="1" t="s">
        <x:v>96</x:v>
      </x:c>
      <x:c r="B26" s="14">
        <x:v>-553</x:v>
      </x:c>
      <x:c r="C26" s="14">
        <x:v>-419</x:v>
      </x:c>
      <x:c r="D26" s="14">
        <x:v>-460</x:v>
      </x:c>
      <x:c r="E26" s="14">
        <x:v>-458</x:v>
      </x:c>
      <x:c r="F26" s="14">
        <x:v>-417</x:v>
      </x:c>
      <x:c r="G26" s="21" t="n">
        <x:f>$F$26</x:f>
        <x:v>-417</x:v>
      </x:c>
      <x:c r="H26" s="21" t="n">
        <x:f>$F$26</x:f>
        <x:v>-417</x:v>
      </x:c>
      <x:c r="I26" s="21" t="n">
        <x:f>$F$26</x:f>
        <x:v>-417</x:v>
      </x:c>
      <x:c r="J26" s="21" t="n">
        <x:f>$F$26</x:f>
        <x:v>-417</x:v>
      </x:c>
      <x:c r="K26" s="21" t="n">
        <x:f>$F$26</x:f>
        <x:v>-417</x:v>
      </x:c>
    </x:row>
    <x:row r="27">
      <x:c r="A27" s="18" t="s">
        <x:v>97</x:v>
      </x:c>
      <x:c r="B27" s="19">
        <x:v>12827</x:v>
      </x:c>
      <x:c r="C27" s="19">
        <x:v>11232</x:v>
      </x:c>
      <x:c r="D27" s="19">
        <x:v>13432</x:v>
      </x:c>
      <x:c r="E27" s="19">
        <x:v>14666</x:v>
      </x:c>
      <x:c r="F27" s="19">
        <x:v>16165</x:v>
      </x:c>
      <x:c r="G27" s="20" t="n">
        <x:f>SUM(G23:G26)</x:f>
        <x:v>18126.460455912398</x:v>
      </x:c>
      <x:c r="H27" s="20" t="n">
        <x:f>SUM(H23:H26)</x:f>
        <x:v>20166.98316796</x:v>
      </x:c>
      <x:c r="I27" s="20" t="n">
        <x:f>SUM(I23:I26)</x:f>
        <x:v>22338.23605899354</x:v>
      </x:c>
      <x:c r="J27" s="20" t="n">
        <x:f>SUM(J23:J26)</x:f>
        <x:v>24617.757935130736</x:v>
      </x:c>
      <x:c r="K27" s="20" t="n">
        <x:f>SUM(K23:K26)</x:f>
        <x:v>27009.98164714587</x:v>
      </x:c>
    </x:row>
    <x:row r="28">
      <x:c r="A28" s="18" t="s">
        <x:v>98</x:v>
      </x:c>
      <x:c r="B28" s="19" t="n">
        <x:f t="shared" ref="B28:K28" si="0">SUM(B17,B22,B27)</x:f>
        <x:v>53811</x:v>
      </x:c>
      <x:c r="C28" s="19">
        <x:f t="shared" si="0"/>
        <x:v>53335</x:v>
      </x:c>
      <x:c r="D28" s="19">
        <x:f t="shared" si="0"/>
        <x:v>55356</x:v>
      </x:c>
      <x:c r="E28" s="19">
        <x:f t="shared" si="0"/>
        <x:v>57769</x:v>
      </x:c>
      <x:c r="F28" s="19">
        <x:f t="shared" si="0"/>
        <x:v>59490</x:v>
      </x:c>
      <x:c r="G28" s="20">
        <x:f t="shared" si="0"/>
        <x:v>61634.026410512401</x:v>
      </x:c>
      <x:c r="H28" s="20">
        <x:f t="shared" si="0"/>
        <x:v>64060.200441652007</x:v>
      </x:c>
      <x:c r="I28" s="20">
        <x:f t="shared" si="0"/>
        <x:v>66704.681389389545</x:v>
      </x:c>
      <x:c r="J28" s="20">
        <x:f t="shared" si="0"/>
        <x:v>69588.446625438621</x:v>
      </x:c>
      <x:c r="K28" s="20">
        <x:f t="shared" si="0"/>
        <x:v>72603.040998162993</x:v>
      </x:c>
    </x:row>
    <x:row r="29">
      <x:c r="A29" s="24" t="s">
        <x:v>99</x:v>
      </x:c>
      <x:c r="B29" s="25" t="n">
        <x:f t="shared" ref="B29:K29" si="1">ROUND(B13-B28,6)</x:f>
        <x:v>0</x:v>
      </x:c>
      <x:c r="C29" s="25">
        <x:f t="shared" si="1"/>
        <x:v>0</x:v>
      </x:c>
      <x:c r="D29" s="25">
        <x:f t="shared" si="1"/>
        <x:v>0</x:v>
      </x:c>
      <x:c r="E29" s="25">
        <x:f t="shared" si="1"/>
        <x:v>0</x:v>
      </x:c>
      <x:c r="F29" s="25">
        <x:f t="shared" si="1"/>
        <x:v>0</x:v>
      </x:c>
      <x:c r="G29" s="26">
        <x:f t="shared" si="1"/>
        <x:v>0</x:v>
      </x:c>
      <x:c r="H29" s="26">
        <x:f t="shared" si="1"/>
        <x:v>0</x:v>
      </x:c>
      <x:c r="I29" s="26">
        <x:f t="shared" si="1"/>
        <x:v>0</x:v>
      </x:c>
      <x:c r="J29" s="26">
        <x:f t="shared" si="1"/>
        <x:v>0</x:v>
      </x:c>
      <x:c r="K29" s="26">
        <x:f t="shared" si="1"/>
        <x:v>0</x:v>
      </x:c>
    </x:row>
  </x:sheetData>
  <x:mergeCells>
    <x:mergeCell ref="A1:K1"/>
    <x:mergeCell ref="A2:K2"/>
  </x:mergeCells>
  <x:pageMargins left="0.7" right="0.7" top="0.75" bottom="0.75" header="0.3" footer="0.3"/>
  <x:drawing xmlns:r="http://schemas.openxmlformats.org/officeDocument/2006/relationships" r:id="Rffdc6fa37d91487d"/>
  <x:legacyDrawing xmlns:r="http://schemas.openxmlformats.org/officeDocument/2006/relationships" r:id="R424df06478c3456a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44" customWidth="1"/>
    <x:col min="2" max="11" width="13" customWidth="1"/>
  </x:cols>
  <x:sheetData>
    <x:row r="1" ht="26" customHeight="1">
      <x:c r="A1" s="59" t="s">
        <x:v>100</x:v>
      </x:c>
      <x:c r="B1" s="59"/>
      <x:c r="C1" s="59"/>
      <x:c r="D1" s="59"/>
      <x:c r="E1" s="59"/>
      <x:c r="F1" s="59"/>
      <x:c r="G1" s="59"/>
      <x:c r="H1" s="59"/>
      <x:c r="I1" s="59"/>
      <x:c r="J1" s="59"/>
      <x:c r="K1" s="59"/>
    </x:row>
    <x:row r="2" ht="18" customHeight="1">
      <x:c r="A2" s="55" t="s">
        <x:v>56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4" t="s">
        <x:v>20</x:v>
      </x:c>
      <x:c r="C4" s="4" t="s">
        <x:v>21</x:v>
      </x:c>
      <x:c r="D4" s="4" t="s">
        <x:v>22</x:v>
      </x:c>
      <x:c r="E4" s="4" t="s">
        <x:v>23</x:v>
      </x:c>
      <x:c r="F4" s="4" t="s">
        <x:v>24</x:v>
      </x:c>
      <x:c r="G4" s="5" t="s">
        <x:v>25</x:v>
      </x:c>
      <x:c r="H4" s="6" t="s">
        <x:v>26</x:v>
      </x:c>
      <x:c r="I4" s="6" t="s">
        <x:v>27</x:v>
      </x:c>
      <x:c r="J4" s="6" t="s">
        <x:v>28</x:v>
      </x:c>
      <x:c r="K4" s="6" t="s">
        <x:v>29</x:v>
      </x:c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>
      <x:c r="A6" s="1" t="s">
        <x:v>69</x:v>
      </x:c>
      <x:c r="B6" s="14">
        <x:v>6946</x:v>
      </x:c>
      <x:c r="C6" s="14">
        <x:v>2780</x:v>
      </x:c>
      <x:c r="D6" s="14">
        <x:v>4138</x:v>
      </x:c>
      <x:c r="E6" s="14">
        <x:v>4091</x:v>
      </x:c>
      <x:c r="F6" s="14">
        <x:v>3705</x:v>
      </x:c>
      <x:c r="G6" s="15" t="n">
        <x:f>'Income Statement'!G21</x:f>
        <x:v>3757.2318294</x:v>
      </x:c>
      <x:c r="H6" s="15" t="n">
        <x:f>'Income Statement'!H21</x:f>
        <x:v>3921.6882306000016</x:v>
      </x:c>
      <x:c r="I6" s="15" t="n">
        <x:f>'Income Statement'!I21</x:f>
        <x:v>4198.4683538196</x:v>
      </x:c>
      <x:c r="J6" s="15" t="n">
        <x:f>'Income Statement'!J21</x:f>
        <x:v>4421.129575673307</x:v>
      </x:c>
      <x:c r="K6" s="15" t="n">
        <x:f>'Income Statement'!K21</x:f>
        <x:v>4653.1270943198</x:v>
      </x:c>
    </x:row>
    <x:row r="7">
      <x:c r="A7" s="1" t="s">
        <x:v>101</x:v>
      </x:c>
      <x:c r="B7" s="14">
        <x:v>2642</x:v>
      </x:c>
      <x:c r="C7" s="14">
        <x:v>2700</x:v>
      </x:c>
      <x:c r="D7" s="14">
        <x:v>2801</x:v>
      </x:c>
      <x:c r="E7" s="14">
        <x:v>2981</x:v>
      </x:c>
      <x:c r="F7" s="14">
        <x:v>3134</x:v>
      </x:c>
      <x:c r="G7" s="15" t="n">
        <x:f>'Income Statement'!G6*'Assumptions'!G13</x:f>
        <x:v>3174.834</x:v>
      </x:c>
      <x:c r="H7" s="15" t="n">
        <x:f>'Income Statement'!H6*'Assumptions'!H13</x:f>
        <x:v>3238.33068</x:v>
      </x:c>
      <x:c r="I7" s="15" t="n">
        <x:f>'Income Statement'!I6*'Assumptions'!I13</x:f>
        <x:v>3319.2889469999996</x:v>
      </x:c>
      <x:c r="J7" s="15" t="n">
        <x:f>'Income Statement'!J6*'Assumptions'!J13</x:f>
        <x:v>3418.86761541</x:v>
      </x:c>
      <x:c r="K7" s="15" t="n">
        <x:f>'Income Statement'!K6*'Assumptions'!K13</x:f>
        <x:v>3521.4336438723</x:v>
      </x:c>
    </x:row>
    <x:row r="8">
      <x:c r="A8" s="1" t="s">
        <x:v>102</x:v>
      </x:c>
      <x:c r="B8" s="14">
        <x:v>228</x:v>
      </x:c>
      <x:c r="C8" s="14">
        <x:v>220</x:v>
      </x:c>
      <x:c r="D8" s="14">
        <x:v>251</x:v>
      </x:c>
      <x:c r="E8" s="14">
        <x:v>304</x:v>
      </x:c>
      <x:c r="F8" s="14">
        <x:v>281</x:v>
      </x:c>
      <x:c r="G8" s="15" t="n">
        <x:f>'Income Statement'!G6*Assumptions!G20</x:f>
        <x:v>285.73506000000003</x:v>
      </x:c>
      <x:c r="H8" s="15" t="n">
        <x:f>'Income Statement'!H6*Assumptions!H20</x:f>
        <x:v>291.4497612</x:v>
      </x:c>
      <x:c r="I8" s="15" t="n">
        <x:f>'Income Statement'!I6*Assumptions!I20</x:f>
        <x:v>298.73600523</x:v>
      </x:c>
      <x:c r="J8" s="15" t="n">
        <x:f>'Income Statement'!J6*Assumptions!J20</x:f>
        <x:v>307.6980853869</x:v>
      </x:c>
      <x:c r="K8" s="15" t="n">
        <x:f>'Income Statement'!K6*Assumptions!K20</x:f>
        <x:v>316.929027948507</x:v>
      </x:c>
    </x:row>
    <x:row r="9">
      <x:c r="A9" s="1" t="s">
        <x:v>90</x:v>
      </x:c>
      <x:c r="B9" s="14">
        <x:v>522</x:v>
      </x:c>
      <x:c r="C9" s="14">
        <x:v>582</x:v>
      </x:c>
      <x:c r="D9" s="14">
        <x:v>298</x:v>
      </x:c>
      <x:c r="E9" s="14">
        <x:v>-180</x:v>
      </x:c>
      <x:c r="F9" s="14">
        <x:v>-55</x:v>
      </x:c>
      <x:c r="G9" s="21">
        <x:v>0</x:v>
      </x:c>
      <x:c r="H9" s="21">
        <x:v>0</x:v>
      </x:c>
      <x:c r="I9" s="21">
        <x:v>0</x:v>
      </x:c>
      <x:c r="J9" s="21">
        <x:v>0</x:v>
      </x:c>
      <x:c r="K9" s="21">
        <x:v>0</x:v>
      </x:c>
    </x:row>
    <x:row r="10">
      <x:c r="A10" s="1" t="s">
        <x:v>103</x:v>
      </x:c>
      <x:c r="B10" s="14">
        <x:v>-335</x:v>
      </x:c>
      <x:c r="C10" s="14">
        <x:v>0</x:v>
      </x:c>
      <x:c r="D10" s="14">
        <x:v>0</x:v>
      </x:c>
      <x:c r="E10" s="14">
        <x:v>0</x:v>
      </x:c>
      <x:c r="F10" s="14">
        <x:v>0</x:v>
      </x:c>
      <x:c r="G10" s="21">
        <x:v>0</x:v>
      </x:c>
      <x:c r="H10" s="21">
        <x:v>0</x:v>
      </x:c>
      <x:c r="I10" s="21">
        <x:v>0</x:v>
      </x:c>
      <x:c r="J10" s="21">
        <x:v>0</x:v>
      </x:c>
      <x:c r="K10" s="21">
        <x:v>0</x:v>
      </x:c>
    </x:row>
    <x:row r="11">
      <x:c r="A11" s="1" t="s">
        <x:v>104</x:v>
      </x:c>
      <x:c r="B11" s="14">
        <x:v>67</x:v>
      </x:c>
      <x:c r="C11" s="14">
        <x:v>172</x:v>
      </x:c>
      <x:c r="D11" s="14">
        <x:v>94</x:v>
      </x:c>
      <x:c r="E11" s="14">
        <x:v>26</x:v>
      </x:c>
      <x:c r="F11" s="14">
        <x:v>-100</x:v>
      </x:c>
      <x:c r="G11" s="21">
        <x:v>0</x:v>
      </x:c>
      <x:c r="H11" s="21">
        <x:v>0</x:v>
      </x:c>
      <x:c r="I11" s="21">
        <x:v>0</x:v>
      </x:c>
      <x:c r="J11" s="21">
        <x:v>0</x:v>
      </x:c>
      <x:c r="K11" s="21">
        <x:v>0</x:v>
      </x:c>
    </x:row>
    <x:row r="12">
      <x:c r="A12" s="1" t="s">
        <x:v>105</x:v>
      </x:c>
      <x:c r="B12" s="14">
        <x:v>-3249</x:v>
      </x:c>
      <x:c r="C12" s="14">
        <x:v>403</x:v>
      </x:c>
      <x:c r="D12" s="14">
        <x:v>1613</x:v>
      </x:c>
      <x:c r="E12" s="14">
        <x:v>-854</x:v>
      </x:c>
      <x:c r="F12" s="14">
        <x:v>436</x:v>
      </x:c>
      <x:c r="G12" s="15" t="n">
        <x:f>-('Balance Sheet'!G7-'Balance Sheet'!F7)</x:f>
        <x:v>-133.2005394000007</x:v>
      </x:c>
      <x:c r="H12" s="15" t="n">
        <x:f>-('Balance Sheet'!H7-'Balance Sheet'!G7)</x:f>
        <x:v>-248.7440107879993</x:v>
      </x:c>
      <x:c r="I12" s="15" t="n">
        <x:f>-('Balance Sheet'!I7-'Balance Sheet'!H7)</x:f>
        <x:v>-299.11381047599934</x:v>
      </x:c>
      <x:c r="J12" s="15" t="n">
        <x:f>-('Balance Sheet'!J7-'Balance Sheet'!I7)</x:f>
        <x:v>-389.5517508199209</x:v>
      </x:c>
      <x:c r="K12" s="15" t="n">
        <x:f>-('Balance Sheet'!K7-'Balance Sheet'!J7)</x:f>
        <x:v>-401.2383033445167</x:v>
      </x:c>
    </x:row>
    <x:row r="13">
      <x:c r="A13" s="1" t="s">
        <x:v>106</x:v>
      </x:c>
      <x:c r="B13" s="14">
        <x:v>-78</x:v>
      </x:c>
      <x:c r="C13" s="14">
        <x:v>22</x:v>
      </x:c>
      <x:c r="D13" s="14">
        <x:v>-85</x:v>
      </x:c>
      <x:c r="E13" s="14">
        <x:v>-308</x:v>
      </x:c>
      <x:c r="F13" s="14">
        <x:v>-494</x:v>
      </x:c>
      <x:c r="G13" s="15" t="n">
        <x:f>-('Balance Sheet'!G8-'Balance Sheet'!F8)</x:f>
        <x:v>-19.96658000000025</x:v>
      </x:c>
      <x:c r="H13" s="15" t="n">
        <x:f>-('Balance Sheet'!H8-'Balance Sheet'!G8)</x:f>
        <x:v>-44.65933159999986</x:v>
      </x:c>
      <x:c r="I13" s="15" t="n">
        <x:f>-('Balance Sheet'!I8-'Balance Sheet'!H8)</x:f>
        <x:v>-56.94064778999973</x:v>
      </x:c>
      <x:c r="J13" s="15" t="n">
        <x:f>-('Balance Sheet'!J8-'Balance Sheet'!I8)</x:f>
        <x:v>-70.03699678170005</x:v>
      </x:c>
      <x:c r="K13" s="15" t="n">
        <x:f>-('Balance Sheet'!K8-'Balance Sheet'!J8)</x:f>
        <x:v>-72.13810668515089</x:v>
      </x:c>
    </x:row>
    <x:row r="14">
      <x:c r="A14" s="1" t="s">
        <x:v>107</x:v>
      </x:c>
      <x:c r="B14" s="14">
        <x:v>2628</x:v>
      </x:c>
      <x:c r="C14" s="14">
        <x:v>-2237</x:v>
      </x:c>
      <x:c r="D14" s="14">
        <x:v>-1216</x:v>
      </x:c>
      <x:c r="E14" s="14">
        <x:v>1008</x:v>
      </x:c>
      <x:c r="F14" s="14">
        <x:v>-501</x:v>
      </x:c>
      <x:c r="G14" s="15" t="n">
        <x:f>'Balance Sheet'!G14-'Balance Sheet'!F14</x:f>
        <x:v>120.40791460000037</x:v>
      </x:c>
      <x:c r="H14" s="15" t="n">
        <x:f>'Balance Sheet'!H14-'Balance Sheet'!G14</x:f>
        <x:v>254.84815829200124</x:v>
      </x:c>
      <x:c r="I14" s="15" t="n">
        <x:f>'Balance Sheet'!I14-'Balance Sheet'!H14</x:f>
        <x:v>306.45402668399765</x:v>
      </x:c>
      <x:c r="J14" s="15" t="n">
        <x:f>'Balance Sheet'!J14-'Balance Sheet'!I14</x:f>
        <x:v>399.1113029872813</x:v>
      </x:c>
      <x:c r="K14" s="15" t="n">
        <x:f>'Balance Sheet'!K14-'Balance Sheet'!J14</x:f>
        <x:v>411.0846420768976</x:v>
      </x:c>
    </x:row>
    <x:row r="15">
      <x:c r="A15" s="1" t="s">
        <x:v>108</x:v>
      </x:c>
      <x:c r="B15" s="14">
        <x:v>-746</x:v>
      </x:c>
      <x:c r="C15" s="14">
        <x:v>-624</x:v>
      </x:c>
      <x:c r="D15" s="14">
        <x:v>727</x:v>
      </x:c>
      <x:c r="E15" s="14">
        <x:v>299</x:v>
      </x:c>
      <x:c r="F15" s="14">
        <x:v>156</x:v>
      </x:c>
      <x:c r="G15" s="15" t="n">
        <x:f>'Balance Sheet'!G15-'Balance Sheet'!F15</x:f>
        <x:v>62.158040000000256</x:v>
      </x:c>
      <x:c r="H15" s="15" t="n">
        <x:f>'Balance Sheet'!H15-'Balance Sheet'!G15</x:f>
        <x:v>130.80316080000011</x:v>
      </x:c>
      <x:c r="I15" s="15" t="n">
        <x:f>'Balance Sheet'!I15-'Balance Sheet'!H15</x:f>
        <x:v>166.77403001999937</x:v>
      </x:c>
      <x:c r="J15" s="15" t="n">
        <x:f>'Balance Sheet'!J15-'Balance Sheet'!I15</x:f>
        <x:v>205.13205692459996</x:v>
      </x:c>
      <x:c r="K15" s="15" t="n">
        <x:f>'Balance Sheet'!K15-'Balance Sheet'!J15</x:f>
        <x:v>211.2860186323378</x:v>
      </x:c>
    </x:row>
    <x:row r="16">
      <x:c r="A16" s="18" t="s">
        <x:v>109</x:v>
      </x:c>
      <x:c r="B16" s="19">
        <x:v>8625</x:v>
      </x:c>
      <x:c r="C16" s="19">
        <x:v>4018</x:v>
      </x:c>
      <x:c r="D16" s="19">
        <x:v>8621</x:v>
      </x:c>
      <x:c r="E16" s="19">
        <x:v>7367</x:v>
      </x:c>
      <x:c r="F16" s="19">
        <x:v>6562</x:v>
      </x:c>
      <x:c r="G16" s="20" t="n">
        <x:f>SUM(G6:G15)</x:f>
        <x:v>7247.1997246</x:v>
      </x:c>
      <x:c r="H16" s="20" t="n">
        <x:f>SUM(H6:H15)</x:f>
        <x:v>7543.716648504003</x:v>
      </x:c>
      <x:c r="I16" s="20" t="n">
        <x:f>SUM(I6:I15)</x:f>
        <x:v>7933.666904487597</x:v>
      </x:c>
      <x:c r="J16" s="20" t="n">
        <x:f>SUM(J6:J15)</x:f>
        <x:v>8292.349888780467</x:v>
      </x:c>
      <x:c r="K16" s="20" t="n">
        <x:f>SUM(K6:K15)</x:f>
        <x:v>8640.484016820174</x:v>
      </x:c>
    </x:row>
    <x:row r="17">
      <x:c r="A17" s="1" t="s">
        <x:v>110</x:v>
      </x:c>
      <x:c r="B17" s="14">
        <x:v>-3544</x:v>
      </x:c>
      <x:c r="C17" s="14">
        <x:v>-5528</x:v>
      </x:c>
      <x:c r="D17" s="14">
        <x:v>-4806</x:v>
      </x:c>
      <x:c r="E17" s="14">
        <x:v>-2891</x:v>
      </x:c>
      <x:c r="F17" s="14">
        <x:v>-3727</x:v>
      </x:c>
      <x:c r="G17" s="15" t="n">
        <x:f>-'Income Statement'!G6*Assumptions!G11</x:f>
        <x:v>-3703.9730000000004</x:v>
      </x:c>
      <x:c r="H17" s="15" t="n">
        <x:f>-'Income Statement'!H6*Assumptions!H11</x:f>
        <x:v>-3778.0524600000003</x:v>
      </x:c>
      <x:c r="I17" s="15" t="n">
        <x:f>-'Income Statement'!I6*Assumptions!I11</x:f>
        <x:v>-3872.5037715</x:v>
      </x:c>
      <x:c r="J17" s="15" t="n">
        <x:f>-'Income Statement'!J6*Assumptions!J11</x:f>
        <x:v>-3988.6788846450004</x:v>
      </x:c>
      <x:c r="K17" s="15" t="n">
        <x:f>-'Income Statement'!K6*Assumptions!K11</x:f>
        <x:v>-4108.33925118435</x:v>
      </x:c>
    </x:row>
    <x:row r="18">
      <x:c r="A18" s="1" t="s">
        <x:v>111</x:v>
      </x:c>
      <x:c r="B18" s="14">
        <x:v>27</x:v>
      </x:c>
      <x:c r="C18" s="14">
        <x:v>8</x:v>
      </x:c>
      <x:c r="D18" s="14">
        <x:v>0</x:v>
      </x:c>
      <x:c r="E18" s="14">
        <x:v>0</x:v>
      </x:c>
      <x:c r="F18" s="14">
        <x:v>0</x:v>
      </x:c>
      <x:c r="G18" s="21">
        <x:v>0</x:v>
      </x:c>
      <x:c r="H18" s="21">
        <x:v>0</x:v>
      </x:c>
      <x:c r="I18" s="21">
        <x:v>0</x:v>
      </x:c>
      <x:c r="J18" s="21">
        <x:v>0</x:v>
      </x:c>
      <x:c r="K18" s="21">
        <x:v>0</x:v>
      </x:c>
    </x:row>
    <x:row r="19">
      <x:c r="A19" s="1" t="s">
        <x:v>112</x:v>
      </x:c>
      <x:c r="B19" s="14">
        <x:v>356</x:v>
      </x:c>
      <x:c r="C19" s="14">
        <x:v>0</x:v>
      </x:c>
      <x:c r="D19" s="14">
        <x:v>0</x:v>
      </x:c>
      <x:c r="E19" s="14">
        <x:v>0</x:v>
      </x:c>
      <x:c r="F19" s="14">
        <x:v>0</x:v>
      </x:c>
      <x:c r="G19" s="21">
        <x:v>0</x:v>
      </x:c>
      <x:c r="H19" s="21">
        <x:v>0</x:v>
      </x:c>
      <x:c r="I19" s="21">
        <x:v>0</x:v>
      </x:c>
      <x:c r="J19" s="21">
        <x:v>0</x:v>
      </x:c>
      <x:c r="K19" s="21">
        <x:v>0</x:v>
      </x:c>
    </x:row>
    <x:row r="20">
      <x:c r="A20" s="1" t="s">
        <x:v>113</x:v>
      </x:c>
      <x:c r="B20" s="14">
        <x:v>0</x:v>
      </x:c>
      <x:c r="C20" s="14">
        <x:v>0</x:v>
      </x:c>
      <x:c r="D20" s="14">
        <x:v>0</x:v>
      </x:c>
      <x:c r="E20" s="14">
        <x:v>0</x:v>
      </x:c>
      <x:c r="F20" s="14">
        <x:v>0</x:v>
      </x:c>
      <x:c r="G20" s="15" t="n">
        <x:f>-('Balance Sheet'!G12-'Balance Sheet'!F12)</x:f>
        <x:v>-20.059320000000298</x:v>
      </x:c>
      <x:c r="H20" s="15" t="n">
        <x:f>-('Balance Sheet'!H12-'Balance Sheet'!G12)</x:f>
        <x:v>-41.06118639999977</x:v>
      </x:c>
      <x:c r="I20" s="15" t="n">
        <x:f>-('Balance Sheet'!I12-'Balance Sheet'!H12)</x:f>
        <x:v>-52.35301265999988</x:v>
      </x:c>
      <x:c r="J20" s="15" t="n">
        <x:f>-('Balance Sheet'!J12-'Balance Sheet'!I12)</x:f>
        <x:v>-64.39420557180028</x:v>
      </x:c>
      <x:c r="K20" s="15" t="n">
        <x:f>-('Balance Sheet'!K12-'Balance Sheet'!J12)</x:f>
        <x:v>-66.32603173895359</x:v>
      </x:c>
    </x:row>
    <x:row r="21">
      <x:c r="A21" s="1" t="s">
        <x:v>114</x:v>
      </x:c>
      <x:c r="B21" s="14">
        <x:v>7</x:v>
      </x:c>
      <x:c r="C21" s="14">
        <x:v>16</x:v>
      </x:c>
      <x:c r="D21" s="14">
        <x:v>46</x:v>
      </x:c>
      <x:c r="E21" s="14">
        <x:v>31</x:v>
      </x:c>
      <x:c r="F21" s="14">
        <x:v>78</x:v>
      </x:c>
      <x:c r="G21" s="21">
        <x:v>0</x:v>
      </x:c>
      <x:c r="H21" s="21">
        <x:v>0</x:v>
      </x:c>
      <x:c r="I21" s="21">
        <x:v>0</x:v>
      </x:c>
      <x:c r="J21" s="21">
        <x:v>0</x:v>
      </x:c>
      <x:c r="K21" s="21">
        <x:v>0</x:v>
      </x:c>
    </x:row>
    <x:row r="22">
      <x:c r="A22" s="18" t="s">
        <x:v>115</x:v>
      </x:c>
      <x:c r="B22" s="19">
        <x:v>-3154</x:v>
      </x:c>
      <x:c r="C22" s="19">
        <x:v>-5504</x:v>
      </x:c>
      <x:c r="D22" s="19">
        <x:v>-4760</x:v>
      </x:c>
      <x:c r="E22" s="19">
        <x:v>-2860</x:v>
      </x:c>
      <x:c r="F22" s="19">
        <x:v>-3649</x:v>
      </x:c>
      <x:c r="G22" s="20" t="n">
        <x:f>SUM(G17:G21)</x:f>
        <x:v>-3724.0323200000007</x:v>
      </x:c>
      <x:c r="H22" s="20" t="n">
        <x:f>SUM(H17:H21)</x:f>
        <x:v>-3819.1136464</x:v>
      </x:c>
      <x:c r="I22" s="20" t="n">
        <x:f>SUM(I17:I21)</x:f>
        <x:v>-3924.8567841599997</x:v>
      </x:c>
      <x:c r="J22" s="20" t="n">
        <x:f>SUM(J17:J21)</x:f>
        <x:v>-4053.0730902168007</x:v>
      </x:c>
      <x:c r="K22" s="20" t="n">
        <x:f>SUM(K17:K21)</x:f>
        <x:v>-4174.665282923304</x:v>
      </x:c>
    </x:row>
    <x:row r="23">
      <x:c r="A23" s="1" t="s">
        <x:v>116</x:v>
      </x:c>
      <x:c r="B23" s="14">
        <x:v>1972</x:v>
      </x:c>
      <x:c r="C23" s="14">
        <x:v>2625</x:v>
      </x:c>
      <x:c r="D23" s="14">
        <x:v>0</x:v>
      </x:c>
      <x:c r="E23" s="14">
        <x:v>741</x:v>
      </x:c>
      <x:c r="F23" s="14">
        <x:v>1984</x:v>
      </x:c>
      <x:c r="G23" s="21">
        <x:v>0</x:v>
      </x:c>
      <x:c r="H23" s="21">
        <x:v>0</x:v>
      </x:c>
      <x:c r="I23" s="21">
        <x:v>0</x:v>
      </x:c>
      <x:c r="J23" s="21">
        <x:v>0</x:v>
      </x:c>
      <x:c r="K23" s="21">
        <x:v>0</x:v>
      </x:c>
    </x:row>
    <x:row r="24">
      <x:c r="A24" s="1" t="s">
        <x:v>117</x:v>
      </x:c>
      <x:c r="B24" s="14">
        <x:v>-1147</x:v>
      </x:c>
      <x:c r="C24" s="14">
        <x:v>-163</x:v>
      </x:c>
      <x:c r="D24" s="14">
        <x:v>-147</x:v>
      </x:c>
      <x:c r="E24" s="14">
        <x:v>-1139</x:v>
      </x:c>
      <x:c r="F24" s="14">
        <x:v>-1643</x:v>
      </x:c>
      <x:c r="G24" s="21">
        <x:v>0</x:v>
      </x:c>
      <x:c r="H24" s="21">
        <x:v>0</x:v>
      </x:c>
      <x:c r="I24" s="21">
        <x:v>0</x:v>
      </x:c>
      <x:c r="J24" s="21">
        <x:v>0</x:v>
      </x:c>
      <x:c r="K24" s="21">
        <x:v>0</x:v>
      </x:c>
    </x:row>
    <x:row r="25">
      <x:c r="A25" s="1" t="s">
        <x:v>118</x:v>
      </x:c>
      <x:c r="B25" s="14">
        <x:v>-1548</x:v>
      </x:c>
      <x:c r="C25" s="14">
        <x:v>-1836</x:v>
      </x:c>
      <x:c r="D25" s="14">
        <x:v>-2011</x:v>
      </x:c>
      <x:c r="E25" s="14">
        <x:v>-2046</x:v>
      </x:c>
      <x:c r="F25" s="14">
        <x:v>-2053</x:v>
      </x:c>
      <x:c r="G25" s="15" t="n">
        <x:f>-'Income Statement'!G21*Assumptions!G21</x:f>
        <x:v>-2081.5064334876</x:v>
      </x:c>
      <x:c r="H25" s="15" t="n">
        <x:f>-'Income Statement'!H21*Assumptions!H21</x:f>
        <x:v>-2172.615279752401</x:v>
      </x:c>
      <x:c r="I25" s="15" t="n">
        <x:f>-'Income Statement'!I21*Assumptions!I21</x:f>
        <x:v>-2325.9514680160587</x:v>
      </x:c>
      <x:c r="J25" s="15" t="n">
        <x:f>-'Income Statement'!J21*Assumptions!J21</x:f>
        <x:v>-2449.305784923012</x:v>
      </x:c>
      <x:c r="K25" s="15" t="n">
        <x:f>-'Income Statement'!K21*Assumptions!K21</x:f>
        <x:v>-2577.832410253169</x:v>
      </x:c>
    </x:row>
    <x:row r="26">
      <x:c r="A26" s="1" t="s">
        <x:v>119</x:v>
      </x:c>
      <x:c r="B26" s="14">
        <x:v>-7356</x:v>
      </x:c>
      <x:c r="C26" s="14">
        <x:v>-2826</x:v>
      </x:c>
      <x:c r="D26" s="14">
        <x:v>0</x:v>
      </x:c>
      <x:c r="E26" s="14">
        <x:v>-1007</x:v>
      </x:c>
      <x:c r="F26" s="14">
        <x:v>-408</x:v>
      </x:c>
      <x:c r="G26" s="21">
        <x:v>0</x:v>
      </x:c>
      <x:c r="H26" s="21">
        <x:v>0</x:v>
      </x:c>
      <x:c r="I26" s="21">
        <x:v>0</x:v>
      </x:c>
      <x:c r="J26" s="21">
        <x:v>0</x:v>
      </x:c>
      <x:c r="K26" s="21">
        <x:v>0</x:v>
      </x:c>
    </x:row>
    <x:row r="27">
      <x:c r="A27" s="1" t="s">
        <x:v>120</x:v>
      </x:c>
      <x:c r="B27" s="14">
        <x:v>8</x:v>
      </x:c>
      <x:c r="C27" s="14">
        <x:v>4</x:v>
      </x:c>
      <x:c r="D27" s="14">
        <x:v>-127</x:v>
      </x:c>
      <x:c r="E27" s="14">
        <x:v>-99</x:v>
      </x:c>
      <x:c r="F27" s="14">
        <x:v>-67</x:v>
      </x:c>
      <x:c r="G27" s="21">
        <x:v>0</x:v>
      </x:c>
      <x:c r="H27" s="21">
        <x:v>0</x:v>
      </x:c>
      <x:c r="I27" s="21">
        <x:v>0</x:v>
      </x:c>
      <x:c r="J27" s="21">
        <x:v>0</x:v>
      </x:c>
      <x:c r="K27" s="21">
        <x:v>0</x:v>
      </x:c>
    </x:row>
    <x:row r="28">
      <x:c r="A28" s="18" t="s">
        <x:v>121</x:v>
      </x:c>
      <x:c r="B28" s="19">
        <x:v>-8071</x:v>
      </x:c>
      <x:c r="C28" s="19">
        <x:v>-2196</x:v>
      </x:c>
      <x:c r="D28" s="19">
        <x:v>-2285</x:v>
      </x:c>
      <x:c r="E28" s="19">
        <x:v>-3550</x:v>
      </x:c>
      <x:c r="F28" s="19">
        <x:v>-2187</x:v>
      </x:c>
      <x:c r="G28" s="20" t="n">
        <x:f>SUM(G23:G27)</x:f>
        <x:v>-2081.5064334876</x:v>
      </x:c>
      <x:c r="H28" s="20" t="n">
        <x:f>SUM(H23:H27)</x:f>
        <x:v>-2172.615279752401</x:v>
      </x:c>
      <x:c r="I28" s="20" t="n">
        <x:f>SUM(I23:I27)</x:f>
        <x:v>-2325.9514680160587</x:v>
      </x:c>
      <x:c r="J28" s="20" t="n">
        <x:f>SUM(J23:J27)</x:f>
        <x:v>-2449.305784923012</x:v>
      </x:c>
      <x:c r="K28" s="20" t="n">
        <x:f>SUM(K23:K27)</x:f>
        <x:v>-2577.832410253169</x:v>
      </x:c>
    </x:row>
    <x:row r="29">
      <x:c r="A29" s="18" t="s">
        <x:v>122</x:v>
      </x:c>
      <x:c r="B29" s="19">
        <x:v>-2600</x:v>
      </x:c>
      <x:c r="C29" s="19">
        <x:v>-3682</x:v>
      </x:c>
      <x:c r="D29" s="19">
        <x:v>1576</x:v>
      </x:c>
      <x:c r="E29" s="19">
        <x:v>957</x:v>
      </x:c>
      <x:c r="F29" s="19">
        <x:v>726</x:v>
      </x:c>
      <x:c r="G29" s="20" t="n">
        <x:f>SUM(G16,G22,G28)</x:f>
        <x:v>1441.6609711123992</x:v>
      </x:c>
      <x:c r="H29" s="20" t="n">
        <x:f>SUM(H16,H22,H28)</x:f>
        <x:v>1551.9877223516023</x:v>
      </x:c>
      <x:c r="I29" s="20" t="n">
        <x:f>SUM(I16,I22,I28)</x:f>
        <x:v>1682.8586523115387</x:v>
      </x:c>
      <x:c r="J29" s="20" t="n">
        <x:f>SUM(J16,J22,J28)</x:f>
        <x:v>1789.9710136406543</x:v>
      </x:c>
      <x:c r="K29" s="20" t="n">
        <x:f>SUM(K16,K22,K28)</x:f>
        <x:v>1887.9863236437</x:v>
      </x:c>
    </x:row>
    <x:row r="30">
      <x:c r="A30" s="1" t="s">
        <x:v>123</x:v>
      </x:c>
      <x:c r="B30" s="14">
        <x:v>8511</x:v>
      </x:c>
      <x:c r="C30" s="14">
        <x:v>5911</x:v>
      </x:c>
      <x:c r="D30" s="14">
        <x:v>2229</x:v>
      </x:c>
      <x:c r="E30" s="14">
        <x:v>3805</x:v>
      </x:c>
      <x:c r="F30" s="14">
        <x:v>4762</x:v>
      </x:c>
      <x:c r="G30" s="15" t="n">
        <x:f>'Balance Sheet'!F6</x:f>
        <x:v>5488</x:v>
      </x:c>
      <x:c r="H30" s="15" t="n">
        <x:f>'Balance Sheet'!G6</x:f>
        <x:v>6929.660971112399</x:v>
      </x:c>
      <x:c r="I30" s="15" t="n">
        <x:f>'Balance Sheet'!H6</x:f>
        <x:v>8481.648693464002</x:v>
      </x:c>
      <x:c r="J30" s="15" t="n">
        <x:f>'Balance Sheet'!I6</x:f>
        <x:v>10164.50734577554</x:v>
      </x:c>
      <x:c r="K30" s="15" t="n">
        <x:f>'Balance Sheet'!J6</x:f>
        <x:v>11954.478359416195</x:v>
      </x:c>
    </x:row>
    <x:row r="31">
      <x:c r="A31" s="18" t="s">
        <x:v>124</x:v>
      </x:c>
      <x:c r="B31" s="19">
        <x:v>5911</x:v>
      </x:c>
      <x:c r="C31" s="19">
        <x:v>2229</x:v>
      </x:c>
      <x:c r="D31" s="19">
        <x:v>3805</x:v>
      </x:c>
      <x:c r="E31" s="19">
        <x:v>4762</x:v>
      </x:c>
      <x:c r="F31" s="19">
        <x:v>5488</x:v>
      </x:c>
      <x:c r="G31" s="20" t="n">
        <x:f>G30+G29</x:f>
        <x:v>6929.660971112399</x:v>
      </x:c>
      <x:c r="H31" s="20" t="n">
        <x:f>H30+H29</x:f>
        <x:v>8481.648693464002</x:v>
      </x:c>
      <x:c r="I31" s="20" t="n">
        <x:f>I30+I29</x:f>
        <x:v>10164.50734577554</x:v>
      </x:c>
      <x:c r="J31" s="20" t="n">
        <x:f>J30+J29</x:f>
        <x:v>11954.478359416195</x:v>
      </x:c>
      <x:c r="K31" s="20" t="n">
        <x:f>K30+K29</x:f>
        <x:v>13842.464683059894</x:v>
      </x:c>
    </x:row>
  </x:sheetData>
  <x:mergeCells>
    <x:mergeCell ref="A1:K1"/>
    <x:mergeCell ref="A2:K2"/>
  </x:mergeCells>
  <x:pageMargins left="0.7" right="0.7" top="0.75" bottom="0.75" header="0.3" footer="0.3"/>
  <x:drawing xmlns:r="http://schemas.openxmlformats.org/officeDocument/2006/relationships" r:id="R5819850c954a4380"/>
  <x:legacyDrawing xmlns:r="http://schemas.openxmlformats.org/officeDocument/2006/relationships" r:id="R12e4ac0755234e77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42" customWidth="1"/>
    <x:col min="2" max="11" width="13" customWidth="1"/>
  </x:cols>
  <x:sheetData>
    <x:row r="1" ht="26" customHeight="1">
      <x:c r="A1" s="59" t="s">
        <x:v>125</x:v>
      </x:c>
      <x:c r="B1" s="59"/>
      <x:c r="C1" s="59"/>
      <x:c r="D1" s="59"/>
      <x:c r="E1" s="59"/>
      <x:c r="F1" s="59"/>
      <x:c r="G1" s="59"/>
      <x:c r="H1" s="59"/>
      <x:c r="I1" s="59"/>
      <x:c r="J1" s="59"/>
      <x:c r="K1" s="59"/>
    </x:row>
    <x:row r="2" ht="18" customHeight="1">
      <x:c r="A2" s="55" t="s">
        <x:v>126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20" customHeight="1">
      <x:c r="A4" s="56" t="s">
        <x:v>127</x:v>
      </x:c>
      <x:c r="B4" s="56" t="s">
        <x:v>127</x:v>
      </x:c>
      <x:c r="C4" s="56" t="s">
        <x:v>127</x:v>
      </x:c>
      <x:c r="D4" s="56" t="s">
        <x:v>127</x:v>
      </x:c>
      <x:c r="E4" s="56" t="s">
        <x:v>127</x:v>
      </x:c>
      <x:c r="F4" s="56" t="s">
        <x:v>127</x:v>
      </x:c>
      <x:c r="G4" s="1"/>
      <x:c r="H4" s="1"/>
      <x:c r="I4" s="1"/>
      <x:c r="J4" s="1"/>
      <x:c r="K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>
      <x:c r="A6" s="1" t="s">
        <x:v>128</x:v>
      </x:c>
      <x:c r="B6" s="27" t="n">
        <x:f>Assumptions!B24</x:f>
        <x:v>130.21</x:v>
      </x:c>
      <x:c r="C6" s="1"/>
      <x:c r="D6" s="1"/>
      <x:c r="E6" s="1"/>
      <x:c r="F6" s="1"/>
      <x:c r="G6" s="1"/>
      <x:c r="H6" s="1"/>
      <x:c r="I6" s="1"/>
      <x:c r="J6" s="1"/>
      <x:c r="K6" s="1"/>
    </x:row>
    <x:row r="7">
      <x:c r="A7" s="1" t="str">
        <x:v>Current Shares Outstanding</x:v>
      </x:c>
      <x:c r="B7" s="15" t="n">
        <x:f>Assumptions!B25</x:f>
        <x:v>454.19</x:v>
      </x:c>
      <x:c r="C7" s="1"/>
      <x:c r="D7" s="1"/>
      <x:c r="E7" s="1"/>
      <x:c r="F7" s="1"/>
      <x:c r="G7" s="1"/>
      <x:c r="H7" s="1"/>
      <x:c r="I7" s="1"/>
      <x:c r="J7" s="1"/>
      <x:c r="K7" s="1"/>
    </x:row>
    <x:row r="8">
      <x:c r="A8" s="18" t="s">
        <x:v>129</x:v>
      </x:c>
      <x:c r="B8" s="28" t="n">
        <x:f>B6*B7</x:f>
        <x:v>59140.079900000004</x:v>
      </x:c>
      <x:c r="C8" s="18"/>
      <x:c r="D8" s="18"/>
      <x:c r="E8" s="18"/>
      <x:c r="F8" s="18"/>
      <x:c r="G8" s="18"/>
      <x:c r="H8" s="18"/>
      <x:c r="I8" s="18"/>
      <x:c r="J8" s="18"/>
      <x:c r="K8" s="18"/>
    </x:row>
    <x:row r="9">
      <x:c r="A9" s="1" t="s">
        <x:v>86</x:v>
      </x:c>
      <x:c r="B9" s="15" t="n">
        <x:f>'Balance Sheet'!F16</x:f>
        <x:v>2130</x:v>
      </x:c>
      <x:c r="C9" s="1"/>
      <x:c r="D9" s="1"/>
      <x:c r="E9" s="1"/>
      <x:c r="F9" s="1"/>
      <x:c r="G9" s="1"/>
      <x:c r="H9" s="1"/>
      <x:c r="I9" s="1"/>
      <x:c r="J9" s="1"/>
      <x:c r="K9" s="1"/>
    </x:row>
    <x:row r="10">
      <x:c r="A10" s="1" t="s">
        <x:v>88</x:v>
      </x:c>
      <x:c r="B10" s="15" t="n">
        <x:f>'Balance Sheet'!F18</x:f>
        <x:v>14326</x:v>
      </x:c>
      <x:c r="C10" s="1"/>
      <x:c r="D10" s="1"/>
      <x:c r="E10" s="1"/>
      <x:c r="F10" s="1"/>
      <x:c r="G10" s="1"/>
      <x:c r="H10" s="1"/>
      <x:c r="I10" s="1"/>
      <x:c r="J10" s="1"/>
      <x:c r="K10" s="1"/>
    </x:row>
    <x:row r="11">
      <x:c r="A11" s="18" t="s">
        <x:v>130</x:v>
      </x:c>
      <x:c r="B11" s="28" t="n">
        <x:f>SUM(B9:B10)</x:f>
        <x:v>16456</x:v>
      </x:c>
      <x:c r="C11" s="18"/>
      <x:c r="D11" s="18"/>
      <x:c r="E11" s="18"/>
      <x:c r="F11" s="18"/>
      <x:c r="G11" s="18"/>
      <x:c r="H11" s="18"/>
      <x:c r="I11" s="18"/>
      <x:c r="J11" s="18"/>
      <x:c r="K11" s="18"/>
    </x:row>
    <x:row r="12">
      <x:c r="A12" s="18" t="s">
        <x:v>131</x:v>
      </x:c>
      <x:c r="B12" s="28" t="n">
        <x:f>SUM(B8,B11)</x:f>
        <x:v>75596.07990000001</x:v>
      </x:c>
      <x:c r="C12" s="18"/>
      <x:c r="D12" s="18"/>
      <x:c r="E12" s="18"/>
      <x:c r="F12" s="18"/>
      <x:c r="G12" s="18"/>
      <x:c r="H12" s="18"/>
      <x:c r="I12" s="18"/>
      <x:c r="J12" s="18"/>
      <x:c r="K12" s="18"/>
    </x:row>
    <x:row r="13">
      <x:c r="A13" s="1" t="s">
        <x:v>132</x:v>
      </x:c>
      <x:c r="B13" s="29" t="n">
        <x:f>B8/B12</x:f>
        <x:v>0.7823167547607187</x:v>
      </x:c>
      <x:c r="C13" s="1"/>
      <x:c r="D13" s="1"/>
      <x:c r="E13" s="1"/>
      <x:c r="F13" s="1"/>
      <x:c r="G13" s="1"/>
      <x:c r="H13" s="1"/>
      <x:c r="I13" s="1"/>
      <x:c r="J13" s="1"/>
      <x:c r="K13" s="1"/>
    </x:row>
    <x:row r="14">
      <x:c r="A14" s="1" t="s">
        <x:v>133</x:v>
      </x:c>
      <x:c r="B14" s="29" t="n">
        <x:f>B11/B12</x:f>
        <x:v>0.2176832452392812</x:v>
      </x:c>
      <x:c r="C14" s="1"/>
      <x:c r="D14" s="1"/>
      <x:c r="E14" s="1"/>
      <x:c r="F14" s="1"/>
      <x:c r="G14" s="1"/>
      <x:c r="H14" s="1"/>
      <x:c r="I14" s="1"/>
      <x:c r="J14" s="1"/>
      <x:c r="K14" s="1"/>
    </x:row>
    <x:row r="15">
      <x:c r="A15" s="1" t="s">
        <x:v>134</x:v>
      </x:c>
      <x:c r="B15" s="29" t="n">
        <x:f>Assumptions!B26</x:f>
        <x:v>0.0449</x:v>
      </x:c>
      <x:c r="C15" s="1"/>
      <x:c r="D15" s="1"/>
      <x:c r="E15" s="1"/>
      <x:c r="F15" s="1"/>
      <x:c r="G15" s="1"/>
      <x:c r="H15" s="1"/>
      <x:c r="I15" s="1"/>
      <x:c r="J15" s="1"/>
      <x:c r="K15" s="1"/>
    </x:row>
    <x:row r="16">
      <x:c r="A16" s="1" t="s">
        <x:v>47</x:v>
      </x:c>
      <x:c r="B16" s="30" t="n">
        <x:f>Assumptions!B27</x:f>
        <x:v>0.99</x:v>
      </x:c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" t="s">
        <x:v>49</x:v>
      </x:c>
      <x:c r="B17" s="29" t="n">
        <x:f>Assumptions!B28</x:f>
        <x:v>0.05</x:v>
      </x:c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 t="s">
        <x:v>135</x:v>
      </x:c>
      <x:c r="B18" s="29" t="n">
        <x:f>B15+B16*B17</x:f>
        <x:v>0.09440000000000001</x:v>
      </x:c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 t="s">
        <x:v>136</x:v>
      </x:c>
      <x:c r="B19" s="29" t="n">
        <x:f>Assumptions!B29</x:f>
        <x:v>0.0534</x:v>
      </x:c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 t="s">
        <x:v>137</x:v>
      </x:c>
      <x:c r="B20" s="29" t="n">
        <x:f>Assumptions!G12</x:f>
        <x:v>0.223</x:v>
      </x:c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 t="s">
        <x:v>138</x:v>
      </x:c>
      <x:c r="B21" s="29" t="n">
        <x:f>B19*(1-B20)</x:f>
        <x:v>0.0414918</x:v>
      </x:c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31" t="s">
        <x:v>139</x:v>
      </x:c>
      <x:c r="B22" s="32" t="n">
        <x:f>B13*B18+B14*B21</x:f>
        <x:v>0.08288277132423107</x:v>
      </x:c>
      <x:c r="C22" s="1"/>
      <x:c r="D22" s="1"/>
      <x:c r="E22" s="1"/>
      <x:c r="F22" s="1"/>
      <x:c r="G22" s="1"/>
      <x:c r="H22" s="1"/>
      <x:c r="I22" s="1"/>
      <x:c r="J22" s="1"/>
      <x:c r="K22" s="1"/>
    </x:row>
  </x:sheetData>
  <x:mergeCells>
    <x:mergeCell ref="A1:K1"/>
    <x:mergeCell ref="A2:K2"/>
    <x:mergeCell ref="A4:F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42" customWidth="1"/>
    <x:col min="2" max="11" width="13" customWidth="1"/>
  </x:cols>
  <x:sheetData>
    <x:row r="1" ht="26" customHeight="1">
      <x:c r="A1" s="59" t="s">
        <x:v>140</x:v>
      </x:c>
      <x:c r="B1" s="59"/>
      <x:c r="C1" s="59"/>
      <x:c r="D1" s="59"/>
      <x:c r="E1" s="59"/>
      <x:c r="F1" s="59"/>
      <x:c r="G1" s="59"/>
      <x:c r="H1" s="59"/>
      <x:c r="I1" s="59"/>
      <x:c r="J1" s="59"/>
      <x:c r="K1" s="59"/>
    </x:row>
    <x:row r="2" ht="18" customHeight="1">
      <x:c r="A2" s="55" t="s">
        <x:v>56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33" t="s">
        <x:v>25</x:v>
      </x:c>
      <x:c r="H4" s="33" t="s">
        <x:v>26</x:v>
      </x:c>
      <x:c r="I4" s="33" t="s">
        <x:v>27</x:v>
      </x:c>
      <x:c r="J4" s="33" t="s">
        <x:v>28</x:v>
      </x:c>
      <x:c r="K4" s="33" t="s">
        <x:v>29</x:v>
      </x:c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>
      <x:c r="A6" s="1" t="s">
        <x:v>141</x:v>
      </x:c>
      <x:c r="B6" s="1"/>
      <x:c r="C6" s="1"/>
      <x:c r="D6" s="1"/>
      <x:c r="E6" s="1"/>
      <x:c r="F6" s="1"/>
      <x:c r="G6" s="15" t="n">
        <x:f>'Income Statement'!G14</x:f>
        <x:v>5185.5622</x:v>
      </x:c>
      <x:c r="H6" s="15" t="n">
        <x:f>'Income Statement'!H14</x:f>
        <x:v>5397.217800000002</x:v>
      </x:c>
      <x:c r="I6" s="15" t="n">
        <x:f>'Income Statement'!I14</x:f>
        <x:v>5753.434174800001</x:v>
      </x:c>
      <x:c r="J6" s="15" t="n">
        <x:f>'Income Statement'!J14</x:f>
        <x:v>6039.999453891</x:v>
      </x:c>
      <x:c r="K6" s="15" t="n">
        <x:f>'Income Statement'!K14</x:f>
        <x:v>6338.580558970141</x:v>
      </x:c>
    </x:row>
    <x:row r="7">
      <x:c r="A7" s="1" t="s">
        <x:v>142</x:v>
      </x:c>
      <x:c r="B7" s="1"/>
      <x:c r="C7" s="1"/>
      <x:c r="D7" s="1"/>
      <x:c r="E7" s="1"/>
      <x:c r="F7" s="1"/>
      <x:c r="G7" s="15" t="n">
        <x:f>-G6*Assumptions!G12</x:f>
        <x:v>-1156.3803706</x:v>
      </x:c>
      <x:c r="H7" s="15" t="n">
        <x:f>-H6*Assumptions!H12</x:f>
        <x:v>-1203.5795694000005</x:v>
      </x:c>
      <x:c r="I7" s="15" t="n">
        <x:f>-I6*Assumptions!I12</x:f>
        <x:v>-1283.0158209804001</x:v>
      </x:c>
      <x:c r="J7" s="15" t="n">
        <x:f>-J6*Assumptions!J12</x:f>
        <x:v>-1346.919878217693</x:v>
      </x:c>
      <x:c r="K7" s="15" t="n">
        <x:f>-K6*Assumptions!K12</x:f>
        <x:v>-1413.5034646503416</x:v>
      </x:c>
    </x:row>
    <x:row r="8">
      <x:c r="A8" s="18" t="s">
        <x:v>143</x:v>
      </x:c>
      <x:c r="B8" s="18"/>
      <x:c r="C8" s="18"/>
      <x:c r="D8" s="18"/>
      <x:c r="E8" s="18"/>
      <x:c r="F8" s="18"/>
      <x:c r="G8" s="28" t="n">
        <x:f>SUM(G6:G7)</x:f>
        <x:v>4029.1818294000004</x:v>
      </x:c>
      <x:c r="H8" s="28" t="n">
        <x:f>SUM(H6:H7)</x:f>
        <x:v>4193.638230600001</x:v>
      </x:c>
      <x:c r="I8" s="28" t="n">
        <x:f>SUM(I6:I7)</x:f>
        <x:v>4470.4183538196</x:v>
      </x:c>
      <x:c r="J8" s="28" t="n">
        <x:f>SUM(J6:J7)</x:f>
        <x:v>4693.079575673307</x:v>
      </x:c>
      <x:c r="K8" s="28" t="n">
        <x:f>SUM(K6:K7)</x:f>
        <x:v>4925.0770943197995</x:v>
      </x:c>
    </x:row>
    <x:row r="9">
      <x:c r="A9" s="1" t="s">
        <x:v>144</x:v>
      </x:c>
      <x:c r="B9" s="1"/>
      <x:c r="C9" s="1"/>
      <x:c r="D9" s="1"/>
      <x:c r="E9" s="1"/>
      <x:c r="F9" s="1"/>
      <x:c r="G9" s="15" t="n">
        <x:f>'Cash Flow Statement'!G7</x:f>
        <x:v>3174.834</x:v>
      </x:c>
      <x:c r="H9" s="15" t="n">
        <x:f>'Cash Flow Statement'!H7</x:f>
        <x:v>3238.33068</x:v>
      </x:c>
      <x:c r="I9" s="15" t="n">
        <x:f>'Cash Flow Statement'!I7</x:f>
        <x:v>3319.2889469999996</x:v>
      </x:c>
      <x:c r="J9" s="15" t="n">
        <x:f>'Cash Flow Statement'!J7</x:f>
        <x:v>3418.86761541</x:v>
      </x:c>
      <x:c r="K9" s="15" t="n">
        <x:f>'Cash Flow Statement'!K7</x:f>
        <x:v>3521.4336438723</x:v>
      </x:c>
    </x:row>
    <x:row r="10">
      <x:c r="A10" s="1" t="s">
        <x:v>110</x:v>
      </x:c>
      <x:c r="B10" s="1"/>
      <x:c r="C10" s="1"/>
      <x:c r="D10" s="1"/>
      <x:c r="E10" s="1"/>
      <x:c r="F10" s="1"/>
      <x:c r="G10" s="15" t="n">
        <x:f>'Cash Flow Statement'!G17</x:f>
        <x:v>-3703.9730000000004</x:v>
      </x:c>
      <x:c r="H10" s="15" t="n">
        <x:f>'Cash Flow Statement'!H17</x:f>
        <x:v>-3778.0524600000003</x:v>
      </x:c>
      <x:c r="I10" s="15" t="n">
        <x:f>'Cash Flow Statement'!I17</x:f>
        <x:v>-3872.5037715</x:v>
      </x:c>
      <x:c r="J10" s="15" t="n">
        <x:f>'Cash Flow Statement'!J17</x:f>
        <x:v>-3988.6788846450004</x:v>
      </x:c>
      <x:c r="K10" s="15" t="n">
        <x:f>'Cash Flow Statement'!K17</x:f>
        <x:v>-4108.33925118435</x:v>
      </x:c>
    </x:row>
    <x:row r="11">
      <x:c r="A11" s="1" t="s">
        <x:v>145</x:v>
      </x:c>
      <x:c r="B11" s="1"/>
      <x:c r="C11" s="1"/>
      <x:c r="D11" s="1"/>
      <x:c r="E11" s="1"/>
      <x:c r="F11" s="1"/>
      <x:c r="G11" s="15" t="n">
        <x:f>SUM('Balance Sheet'!G7:'Balance Sheet'!G8)-SUM('Balance Sheet'!G14:'Balance Sheet'!G15)</x:f>
        <x:v>-4612.3988352000015</x:v>
      </x:c>
      <x:c r="H11" s="15" t="n">
        <x:f>SUM('Balance Sheet'!H7:'Balance Sheet'!H8)-SUM('Balance Sheet'!H14:'Balance Sheet'!H15)</x:f>
        <x:v>-4704.646811904004</x:v>
      </x:c>
      <x:c r="I11" s="15" t="n">
        <x:f>SUM('Balance Sheet'!I7:'Balance Sheet'!I8)-SUM('Balance Sheet'!I14:'Balance Sheet'!I15)</x:f>
        <x:v>-4821.820410342001</x:v>
      </x:c>
      <x:c r="J11" s="15" t="n">
        <x:f>SUM('Balance Sheet'!J7:'Balance Sheet'!J8)-SUM('Balance Sheet'!J14:'Balance Sheet'!J15)</x:f>
        <x:v>-4966.475022652261</x:v>
      </x:c>
      <x:c r="K11" s="15" t="n">
        <x:f>SUM('Balance Sheet'!K7:'Balance Sheet'!K8)-SUM('Balance Sheet'!K14:'Balance Sheet'!K15)</x:f>
        <x:v>-5115.46927333183</x:v>
      </x:c>
    </x:row>
    <x:row r="12">
      <x:c r="A12" s="1" t="s">
        <x:v>146</x:v>
      </x:c>
      <x:c r="B12" s="1"/>
      <x:c r="C12" s="1"/>
      <x:c r="D12" s="1"/>
      <x:c r="E12" s="1"/>
      <x:c r="F12" s="1"/>
      <x:c r="G12" s="15" t="n">
        <x:f>-((SUM('Balance Sheet'!G7:'Balance Sheet'!G8)-SUM('Balance Sheet'!G14:'Balance Sheet'!G15))-(SUM('Balance Sheet'!F7:'Balance Sheet'!F8)-SUM('Balance Sheet'!F14:'Balance Sheet'!F15)))</x:f>
        <x:v>29.398835200001486</x:v>
      </x:c>
      <x:c r="H12" s="15" t="n">
        <x:f>-((SUM('Balance Sheet'!H7:'Balance Sheet'!H8)-SUM('Balance Sheet'!H14:'Balance Sheet'!H15))-(SUM('Balance Sheet'!G7:'Balance Sheet'!G8)-SUM('Balance Sheet'!G14:'Balance Sheet'!G15)))</x:f>
        <x:v>92.24797670400221</x:v>
      </x:c>
      <x:c r="I12" s="15" t="n">
        <x:f>-((SUM('Balance Sheet'!I7:'Balance Sheet'!I8)-SUM('Balance Sheet'!I14:'Balance Sheet'!I15))-(SUM('Balance Sheet'!H7:'Balance Sheet'!H8)-SUM('Balance Sheet'!H14:'Balance Sheet'!H15)))</x:f>
        <x:v>117.1735984379975</x:v>
      </x:c>
      <x:c r="J12" s="15" t="n">
        <x:f>-((SUM('Balance Sheet'!J7:'Balance Sheet'!J8)-SUM('Balance Sheet'!J14:'Balance Sheet'!J15))-(SUM('Balance Sheet'!I7:'Balance Sheet'!I8)-SUM('Balance Sheet'!I14:'Balance Sheet'!I15)))</x:f>
        <x:v>144.65461231025984</x:v>
      </x:c>
      <x:c r="K12" s="15" t="n">
        <x:f>-((SUM('Balance Sheet'!K7:'Balance Sheet'!K8)-SUM('Balance Sheet'!K14:'Balance Sheet'!K15))-(SUM('Balance Sheet'!J7:'Balance Sheet'!J8)-SUM('Balance Sheet'!J14:'Balance Sheet'!J15)))</x:f>
        <x:v>148.99425067956872</x:v>
      </x:c>
    </x:row>
    <x:row r="13">
      <x:c r="A13" s="18" t="s">
        <x:v>147</x:v>
      </x:c>
      <x:c r="B13" s="18"/>
      <x:c r="C13" s="18"/>
      <x:c r="D13" s="18"/>
      <x:c r="E13" s="18"/>
      <x:c r="F13" s="18"/>
      <x:c r="G13" s="28" t="n">
        <x:f>SUM(G8:G10,G12)</x:f>
        <x:v>3529.4416646000013</x:v>
      </x:c>
      <x:c r="H13" s="28" t="n">
        <x:f>SUM(H8:H10,H12)</x:f>
        <x:v>3746.1644273040033</x:v>
      </x:c>
      <x:c r="I13" s="28" t="n">
        <x:f>SUM(I8:I10,I12)</x:f>
        <x:v>4034.377127757598</x:v>
      </x:c>
      <x:c r="J13" s="28" t="n">
        <x:f>SUM(J8:J10,J12)</x:f>
        <x:v>4267.922918748567</x:v>
      </x:c>
      <x:c r="K13" s="28" t="n">
        <x:f>SUM(K8:K10,K12)</x:f>
        <x:v>4487.165737687317</x:v>
      </x:c>
    </x:row>
    <x:row r="14">
      <x:c r="A14" s="1" t="s">
        <x:v>148</x:v>
      </x:c>
      <x:c r="B14" s="1"/>
      <x:c r="C14" s="1"/>
      <x:c r="D14" s="1"/>
      <x:c r="E14" s="1"/>
      <x:c r="F14" s="1"/>
      <x:c r="G14" s="15">
        <x:v>1</x:v>
      </x:c>
      <x:c r="H14" s="15">
        <x:v>2</x:v>
      </x:c>
      <x:c r="I14" s="15">
        <x:v>3</x:v>
      </x:c>
      <x:c r="J14" s="15">
        <x:v>4</x:v>
      </x:c>
      <x:c r="K14" s="15">
        <x:v>5</x:v>
      </x:c>
    </x:row>
    <x:row r="15">
      <x:c r="A15" s="1" t="s">
        <x:v>149</x:v>
      </x:c>
      <x:c r="B15" s="1"/>
      <x:c r="C15" s="1"/>
      <x:c r="D15" s="1"/>
      <x:c r="E15" s="1"/>
      <x:c r="F15" s="1"/>
      <x:c r="G15" s="34" t="n">
        <x:f>1/(1+WACC!$B$22)^G14</x:f>
        <x:v>0.9234609936374962</x:v>
      </x:c>
      <x:c r="H15" s="34" t="n">
        <x:f>1/(1+WACC!$B$22)^H14</x:f>
        <x:v>0.8527802067699518</x:v>
      </x:c>
      <x:c r="I15" s="34" t="n">
        <x:f>1/(1+WACC!$B$22)^I14</x:f>
        <x:v>0.7875092570981691</x:v>
      </x:c>
      <x:c r="J15" s="34" t="n">
        <x:f>1/(1+WACC!$B$22)^J14</x:f>
        <x:v>0.7272340810586018</x:v>
      </x:c>
      <x:c r="K15" s="34" t="n">
        <x:f>1/(1+WACC!$B$22)^K14</x:f>
        <x:v>0.6715723071014279</x:v>
      </x:c>
    </x:row>
    <x:row r="16">
      <x:c r="A16" s="18" t="s">
        <x:v>150</x:v>
      </x:c>
      <x:c r="B16" s="18"/>
      <x:c r="C16" s="18"/>
      <x:c r="D16" s="18"/>
      <x:c r="E16" s="18"/>
      <x:c r="F16" s="18"/>
      <x:c r="G16" s="28" t="n">
        <x:f>G13*G15</x:f>
        <x:v>3259.301706577096</x:v>
      </x:c>
      <x:c r="H16" s="28" t="n">
        <x:f>H13*H15</x:f>
        <x:v>3194.654874910546</x:v>
      </x:c>
      <x:c r="I16" s="28" t="n">
        <x:f>I13*I15</x:f>
        <x:v>3177.109334734231</x:v>
      </x:c>
      <x:c r="J16" s="28" t="n">
        <x:f>J13*J15</x:f>
        <x:v>3103.7790018450596</x:v>
      </x:c>
      <x:c r="K16" s="28" t="n">
        <x:f>K13*K15</x:f>
        <x:v>3013.456246805152</x:v>
      </x:c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20" customHeight="1">
      <x:c r="A19" s="56" t="s">
        <x:v>151</x:v>
      </x:c>
      <x:c r="B19" s="56" t="s">
        <x:v>151</x:v>
      </x:c>
      <x:c r="C19" s="56" t="s">
        <x:v>151</x:v>
      </x:c>
      <x:c r="D19" s="56" t="s">
        <x:v>151</x:v>
      </x:c>
      <x:c r="E19" s="56" t="s">
        <x:v>151</x:v>
      </x:c>
      <x:c r="F19" s="56" t="s">
        <x:v>151</x:v>
      </x:c>
      <x:c r="G19" s="1"/>
      <x:c r="H19" s="1"/>
      <x:c r="I19" s="1"/>
      <x:c r="J19" s="1"/>
      <x:c r="K19" s="1"/>
    </x:row>
    <x:row r="20">
      <x:c r="A20" s="1" t="s">
        <x:v>152</x:v>
      </x:c>
      <x:c r="B20" s="35" t="n">
        <x:f>SUM(G16:K16)</x:f>
        <x:v>15748.301164872084</x:v>
      </x:c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 t="s">
        <x:v>153</x:v>
      </x:c>
      <x:c r="B21" s="36" t="n">
        <x:f>Assumptions!B32</x:f>
        <x:v>0.02</x:v>
      </x:c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 t="s">
        <x:v>154</x:v>
      </x:c>
      <x:c r="B22" s="35" t="n">
        <x:f>K13*(1+B21)/(WACC!$B$22-B21)</x:f>
        <x:v>72784.78597646365</x:v>
      </x:c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 t="s">
        <x:v>155</x:v>
      </x:c>
      <x:c r="B23" s="35" t="n">
        <x:f>B22*K15</x:f>
        <x:v>48880.24664009735</x:v>
      </x:c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 t="s">
        <x:v>156</x:v>
      </x:c>
      <x:c r="B24" s="35" t="n">
        <x:f>SUM(B20,B23)</x:f>
        <x:v>64628.547804969436</x:v>
      </x:c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 t="s">
        <x:v>157</x:v>
      </x:c>
      <x:c r="B25" s="35" t="n">
        <x:f>-WACC!B11</x:f>
        <x:v>-16456</x:v>
      </x:c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 t="s">
        <x:v>158</x:v>
      </x:c>
      <x:c r="B26" s="35" t="n">
        <x:f>'Balance Sheet'!F6</x:f>
        <x:v>5488</x:v>
      </x:c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 t="s">
        <x:v>159</x:v>
      </x:c>
      <x:c r="B27" s="35" t="n">
        <x:f>SUM(B24:B26)</x:f>
        <x:v>53660.547804969436</x:v>
      </x:c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 t="str">
        <x:v>Diluted Shares</x:v>
      </x:c>
      <x:c r="B28" s="35" t="n">
        <x:f>'Assumptions'!B30</x:f>
        <x:v>455.6</x:v>
      </x:c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24" t="s">
        <x:v>160</x:v>
      </x:c>
      <x:c r="B29" s="37" t="n">
        <x:f>B27/B28</x:f>
        <x:v>117.7799556737696</x:v>
      </x:c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38" t="s">
        <x:v>45</x:v>
      </x:c>
      <x:c r="B30" s="39" t="n">
        <x:f>Assumptions!B24</x:f>
        <x:v>130.21</x:v>
      </x:c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38" t="s">
        <x:v>161</x:v>
      </x:c>
      <x:c r="B31" s="40" t="n">
        <x:f>B29/B30-1</x:f>
        <x:v>-0.09546151851801243</x:v>
      </x:c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20" customHeight="1">
      <x:c r="A34" s="56" t="s">
        <x:v>162</x:v>
      </x:c>
      <x:c r="B34" s="56" t="s">
        <x:v>162</x:v>
      </x:c>
      <x:c r="C34" s="56" t="s">
        <x:v>162</x:v>
      </x:c>
      <x:c r="D34" s="56" t="s">
        <x:v>162</x:v>
      </x:c>
      <x:c r="E34" s="56" t="s">
        <x:v>162</x:v>
      </x:c>
      <x:c r="F34" s="56" t="s">
        <x:v>162</x:v>
      </x:c>
      <x:c r="G34" s="1"/>
      <x:c r="H34" s="1"/>
      <x:c r="I34" s="1"/>
      <x:c r="J34" s="1"/>
      <x:c r="K34" s="1"/>
    </x:row>
    <x:row r="35">
      <x:c r="A35" s="1" t="s">
        <x:v>163</x:v>
      </x:c>
      <x:c r="B35" s="35" t="n">
        <x:f>K6+K9</x:f>
        <x:v>9860.014202842442</x:v>
      </x:c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 t="s">
        <x:v>164</x:v>
      </x:c>
      <x:c r="B36" s="41" t="n">
        <x:f>Assumptions!B33</x:f>
        <x:v>8</x:v>
      </x:c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 t="s">
        <x:v>154</x:v>
      </x:c>
      <x:c r="B37" s="35" t="n">
        <x:f>B35*B36</x:f>
        <x:v>78880.11362273953</x:v>
      </x:c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 t="s">
        <x:v>155</x:v>
      </x:c>
      <x:c r="B38" s="35" t="n">
        <x:f>B37*K15</x:f>
        <x:v>52973.69989004596</x:v>
      </x:c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 t="s">
        <x:v>156</x:v>
      </x:c>
      <x:c r="B39" s="35" t="n">
        <x:f>SUM(B20,B38)</x:f>
        <x:v>68722.00105491804</x:v>
      </x:c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 t="s">
        <x:v>159</x:v>
      </x:c>
      <x:c r="B40" s="35" t="n">
        <x:f>B39+SUM(B25:B26)</x:f>
        <x:v>57754.001054918044</x:v>
      </x:c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42" t="s">
        <x:v>160</x:v>
      </x:c>
      <x:c r="B41" s="43" t="n">
        <x:f>B40/B28</x:f>
        <x:v>126.76470819780079</x:v>
      </x:c>
      <x:c r="C41" s="1"/>
      <x:c r="D41" s="1"/>
      <x:c r="E41" s="1"/>
      <x:c r="F41" s="1"/>
      <x:c r="G41" s="1"/>
      <x:c r="H41" s="1"/>
      <x:c r="I41" s="1"/>
      <x:c r="J41" s="1"/>
      <x:c r="K41" s="1"/>
    </x:row>
  </x:sheetData>
  <x:mergeCells>
    <x:mergeCell ref="A1:K1"/>
    <x:mergeCell ref="A2:K2"/>
    <x:mergeCell ref="A19:F19"/>
    <x:mergeCell ref="A34:F3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30" customWidth="1"/>
    <x:col min="2" max="11" width="13" customWidth="1"/>
  </x:cols>
  <x:sheetData>
    <x:row r="1" ht="26" customHeight="1">
      <x:c r="A1" s="59" t="s">
        <x:v>165</x:v>
      </x:c>
      <x:c r="B1" s="59"/>
      <x:c r="C1" s="59"/>
      <x:c r="D1" s="59"/>
      <x:c r="E1" s="59"/>
      <x:c r="F1" s="59"/>
      <x:c r="G1" s="59"/>
      <x:c r="H1" s="59"/>
      <x:c r="I1" s="59"/>
      <x:c r="J1" s="59"/>
      <x:c r="K1" s="59"/>
    </x:row>
    <x:row r="2" ht="18" customHeight="1">
      <x:c r="A2" s="55"/>
      <x:c r="B2" s="55"/>
      <x:c r="C2" s="55"/>
      <x:c r="D2" s="55"/>
      <x:c r="E2" s="55"/>
      <x:c r="F2" s="55"/>
      <x:c r="G2" s="55"/>
      <x:c r="H2" s="55"/>
      <x:c r="I2" s="55"/>
      <x:c r="J2" s="55"/>
      <x:c r="K2" s="55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>
      <x:c r="A5" s="1"/>
      <x:c r="B5" s="44" t="s">
        <x:v>166</x:v>
      </x:c>
      <x:c r="C5" s="45">
        <x:v>0.01</x:v>
      </x:c>
      <x:c r="D5" s="45">
        <x:v>1.4999999999999999E-2</x:v>
      </x:c>
      <x:c r="E5" s="45">
        <x:v>0.02</x:v>
      </x:c>
      <x:c r="F5" s="45">
        <x:v>2.5000000000000001E-2</x:v>
      </x:c>
      <x:c r="G5" s="45">
        <x:v>0.03</x:v>
      </x:c>
      <x:c r="H5" s="1"/>
      <x:c r="I5" s="1"/>
      <x:c r="J5" s="1"/>
      <x:c r="K5" s="1"/>
    </x:row>
    <x:row r="6">
      <x:c r="A6" s="1"/>
      <x:c r="B6" s="46">
        <x:v>7.0000000000000007E-2</x:v>
      </x:c>
      <x:c r="C6" s="47" t="n">
        <x:f>(SUMPRODUCT('DCF Valuation'!$G$13:$K$13,1/(1+$B6)^'DCF Valuation'!$G$14:$K$14)+('DCF Valuation'!$K$13*(1+C$5)/($B6-C$5))/(1+$B6)^'DCF Valuation'!$K$14-WACC!$B$11+'Balance Sheet'!$F$6)/Assumptions!$B$30</x:f>
        <x:v>129.9512169261452</x:v>
      </x:c>
      <x:c r="D6" s="47" t="n">
        <x:f>(SUMPRODUCT('DCF Valuation'!$G$13:$K$13,1/(1+$B6)^'DCF Valuation'!$G$14:$K$14)+('DCF Valuation'!$K$13*(1+D$5)/($B6-D$5))/(1+$B6)^'DCF Valuation'!$K$14-WACC!$B$11+'Balance Sheet'!$F$6)/Assumptions!$B$30</x:f>
        <x:v>141.3355960231247</x:v>
      </x:c>
      <x:c r="E6" s="47" t="n">
        <x:f>(SUMPRODUCT('DCF Valuation'!$G$13:$K$13,1/(1+$B6)^'DCF Valuation'!$G$14:$K$14)+('DCF Valuation'!$K$13*(1+E$5)/($B6-E$5))/(1+$B6)^'DCF Valuation'!$K$14-WACC!$B$11+'Balance Sheet'!$F$6)/Assumptions!$B$30</x:f>
        <x:v>154.99685093950015</x:v>
      </x:c>
      <x:c r="F6" s="47" t="n">
        <x:f>(SUMPRODUCT('DCF Valuation'!$G$13:$K$13,1/(1+$B6)^'DCF Valuation'!$G$14:$K$14)+('DCF Valuation'!$K$13*(1+F$5)/($B6-F$5))/(1+$B6)^'DCF Valuation'!$K$14-WACC!$B$11+'Balance Sheet'!$F$6)/Assumptions!$B$30</x:f>
        <x:v>171.69394028173676</x:v>
      </x:c>
      <x:c r="G6" s="47" t="n">
        <x:f>(SUMPRODUCT('DCF Valuation'!$G$13:$K$13,1/(1+$B6)^'DCF Valuation'!$G$14:$K$14)+('DCF Valuation'!$K$13*(1+G$5)/($B6-G$5))/(1+$B6)^'DCF Valuation'!$K$14-WACC!$B$11+'Balance Sheet'!$F$6)/Assumptions!$B$30</x:f>
        <x:v>192.56530195953252</x:v>
      </x:c>
      <x:c r="H6" s="1"/>
      <x:c r="I6" s="1"/>
      <x:c r="J6" s="1"/>
      <x:c r="K6" s="1"/>
    </x:row>
    <x:row r="7">
      <x:c r="A7" s="1"/>
      <x:c r="B7" s="46">
        <x:v>7.4999999999999997E-2</x:v>
      </x:c>
      <x:c r="C7" s="47" t="n">
        <x:f>(SUMPRODUCT('DCF Valuation'!$G$13:$K$13,1/(1+$B7)^'DCF Valuation'!$G$14:$K$14)+('DCF Valuation'!$K$13*(1+C$5)/($B7-C$5))/(1+$B7)^'DCF Valuation'!$K$14-WACC!$B$11+'Balance Sheet'!$F$6)/Assumptions!$B$30</x:f>
        <x:v>117.84987515697902</x:v>
      </x:c>
      <x:c r="D7" s="47" t="n">
        <x:f>(SUMPRODUCT('DCF Valuation'!$G$13:$K$13,1/(1+$B7)^'DCF Valuation'!$G$14:$K$14)+('DCF Valuation'!$K$13*(1+D$5)/($B7-D$5))/(1+$B7)^'DCF Valuation'!$K$14-WACC!$B$11+'Balance Sheet'!$F$6)/Assumptions!$B$30</x:f>
        <x:v>127.3048403805632</x:v>
      </x:c>
      <x:c r="E7" s="47" t="n">
        <x:f>(SUMPRODUCT('DCF Valuation'!$G$13:$K$13,1/(1+$B7)^'DCF Valuation'!$G$14:$K$14)+('DCF Valuation'!$K$13*(1+E$5)/($B7-E$5))/(1+$B7)^'DCF Valuation'!$K$14-WACC!$B$11+'Balance Sheet'!$F$6)/Assumptions!$B$30</x:f>
        <x:v>138.47889019025362</x:v>
      </x:c>
      <x:c r="F7" s="47" t="n">
        <x:f>(SUMPRODUCT('DCF Valuation'!$G$13:$K$13,1/(1+$B7)^'DCF Valuation'!$G$14:$K$14)+('DCF Valuation'!$K$13*(1+F$5)/($B7-F$5))/(1+$B7)^'DCF Valuation'!$K$14-WACC!$B$11+'Balance Sheet'!$F$6)/Assumptions!$B$30</x:f>
        <x:v>151.88774996188207</x:v>
      </x:c>
      <x:c r="G7" s="47" t="n">
        <x:f>(SUMPRODUCT('DCF Valuation'!$G$13:$K$13,1/(1+$B7)^'DCF Valuation'!$G$14:$K$14)+('DCF Valuation'!$K$13*(1+G$5)/($B7-G$5))/(1+$B7)^'DCF Valuation'!$K$14-WACC!$B$11+'Balance Sheet'!$F$6)/Assumptions!$B$30</x:f>
        <x:v>168.27635634942794</x:v>
      </x:c>
      <x:c r="H7" s="1"/>
      <x:c r="I7" s="1"/>
      <x:c r="J7" s="1"/>
      <x:c r="K7" s="1"/>
    </x:row>
    <x:row r="8">
      <x:c r="A8" s="1"/>
      <x:c r="B8" s="46">
        <x:v>0.08</x:v>
      </x:c>
      <x:c r="C8" s="47" t="n">
        <x:f>(SUMPRODUCT('DCF Valuation'!$G$13:$K$13,1/(1+$B8)^'DCF Valuation'!$G$14:$K$14)+('DCF Valuation'!$K$13*(1+C$5)/($B8-C$5))/(1+$B8)^'DCF Valuation'!$K$14-WACC!$B$11+'Balance Sheet'!$F$6)/Assumptions!$B$30</x:f>
        <x:v>107.4814684018255</x:v>
      </x:c>
      <x:c r="D8" s="47" t="n">
        <x:f>(SUMPRODUCT('DCF Valuation'!$G$13:$K$13,1/(1+$B8)^'DCF Valuation'!$G$14:$K$14)+('DCF Valuation'!$K$13*(1+D$5)/($B8-D$5))/(1+$B8)^'DCF Valuation'!$K$14-WACC!$B$11+'Balance Sheet'!$F$6)/Assumptions!$B$30</x:f>
        <x:v>115.4366844956749</x:v>
      </x:c>
      <x:c r="E8" s="48" t="n">
        <x:f>(SUMPRODUCT('DCF Valuation'!$G$13:$K$13,1/(1+$B8)^'DCF Valuation'!$G$14:$K$14)+('DCF Valuation'!$K$13*(1+E$5)/($B8-E$5))/(1+$B8)^'DCF Valuation'!$K$14-WACC!$B$11+'Balance Sheet'!$F$6)/Assumptions!$B$30</x:f>
        <x:v>124.71776993849927</x:v>
      </x:c>
      <x:c r="F8" s="47" t="n">
        <x:f>(SUMPRODUCT('DCF Valuation'!$G$13:$K$13,1/(1+$B8)^'DCF Valuation'!$G$14:$K$14)+('DCF Valuation'!$K$13*(1+F$5)/($B8-F$5))/(1+$B8)^'DCF Valuation'!$K$14-WACC!$B$11+'Balance Sheet'!$F$6)/Assumptions!$B$30</x:f>
        <x:v>135.6863254618371</x:v>
      </x:c>
      <x:c r="G8" s="47" t="n">
        <x:f>(SUMPRODUCT('DCF Valuation'!$G$13:$K$13,1/(1+$B8)^'DCF Valuation'!$G$14:$K$14)+('DCF Valuation'!$K$13*(1+G$5)/($B8-G$5))/(1+$B8)^'DCF Valuation'!$K$14-WACC!$B$11+'Balance Sheet'!$F$6)/Assumptions!$B$30</x:f>
        <x:v>148.84859208984253</x:v>
      </x:c>
      <x:c r="H8" s="1"/>
      <x:c r="I8" s="1"/>
      <x:c r="J8" s="1"/>
      <x:c r="K8" s="1"/>
    </x:row>
    <x:row r="9">
      <x:c r="A9" s="1"/>
      <x:c r="B9" s="46">
        <x:v>8.5000000000000006E-2</x:v>
      </x:c>
      <x:c r="C9" s="47" t="n">
        <x:f>(SUMPRODUCT('DCF Valuation'!$G$13:$K$13,1/(1+$B9)^'DCF Valuation'!$G$14:$K$14)+('DCF Valuation'!$K$13*(1+C$5)/($B9-C$5))/(1+$B9)^'DCF Valuation'!$K$14-WACC!$B$11+'Balance Sheet'!$F$6)/Assumptions!$B$30</x:f>
        <x:v>98.49931847243708</x:v>
      </x:c>
      <x:c r="D9" s="47" t="n">
        <x:f>(SUMPRODUCT('DCF Valuation'!$G$13:$K$13,1/(1+$B9)^'DCF Valuation'!$G$14:$K$14)+('DCF Valuation'!$K$13*(1+D$5)/($B9-D$5))/(1+$B9)^'DCF Valuation'!$K$14-WACC!$B$11+'Balance Sheet'!$F$6)/Assumptions!$B$30</x:f>
        <x:v>105.26762694177819</x:v>
      </x:c>
      <x:c r="E9" s="47" t="n">
        <x:f>(SUMPRODUCT('DCF Valuation'!$G$13:$K$13,1/(1+$B9)^'DCF Valuation'!$G$14:$K$14)+('DCF Valuation'!$K$13*(1+E$5)/($B9-E$5))/(1+$B9)^'DCF Valuation'!$K$14-WACC!$B$11+'Balance Sheet'!$F$6)/Assumptions!$B$30</x:f>
        <x:v>113.07721363717182</x:v>
      </x:c>
      <x:c r="F9" s="47" t="n">
        <x:f>(SUMPRODUCT('DCF Valuation'!$G$13:$K$13,1/(1+$B9)^'DCF Valuation'!$G$14:$K$14)+('DCF Valuation'!$K$13*(1+F$5)/($B9-F$5))/(1+$B9)^'DCF Valuation'!$K$14-WACC!$B$11+'Balance Sheet'!$F$6)/Assumptions!$B$30</x:f>
        <x:v>122.18839811513102</x:v>
      </x:c>
      <x:c r="G9" s="47" t="n">
        <x:f>(SUMPRODUCT('DCF Valuation'!$G$13:$K$13,1/(1+$B9)^'DCF Valuation'!$G$14:$K$14)+('DCF Valuation'!$K$13*(1+G$5)/($B9-G$5))/(1+$B9)^'DCF Valuation'!$K$14-WACC!$B$11+'Balance Sheet'!$F$6)/Assumptions!$B$30</x:f>
        <x:v>132.9561615890828</x:v>
      </x:c>
      <x:c r="H9" s="1"/>
      <x:c r="I9" s="1"/>
      <x:c r="J9" s="1"/>
      <x:c r="K9" s="1"/>
    </x:row>
    <x:row r="10">
      <x:c r="A10" s="1"/>
      <x:c r="B10" s="46">
        <x:v>0.09</x:v>
      </x:c>
      <x:c r="C10" s="47" t="n">
        <x:f>(SUMPRODUCT('DCF Valuation'!$G$13:$K$13,1/(1+$B10)^'DCF Valuation'!$G$14:$K$14)+('DCF Valuation'!$K$13*(1+C$5)/($B10-C$5))/(1+$B10)^'DCF Valuation'!$K$14-WACC!$B$11+'Balance Sheet'!$F$6)/Assumptions!$B$30</x:f>
        <x:v>90.64341917408743</x:v>
      </x:c>
      <x:c r="D10" s="47" t="n">
        <x:f>(SUMPRODUCT('DCF Valuation'!$G$13:$K$13,1/(1+$B10)^'DCF Valuation'!$G$14:$K$14)+('DCF Valuation'!$K$13*(1+D$5)/($B10-D$5))/(1+$B10)^'DCF Valuation'!$K$14-WACC!$B$11+'Balance Sheet'!$F$6)/Assumptions!$B$30</x:f>
        <x:v>96.45776899631025</x:v>
      </x:c>
      <x:c r="E10" s="47" t="n">
        <x:f>(SUMPRODUCT('DCF Valuation'!$G$13:$K$13,1/(1+$B10)^'DCF Valuation'!$G$14:$K$14)+('DCF Valuation'!$K$13*(1+E$5)/($B10-E$5))/(1+$B10)^'DCF Valuation'!$K$14-WACC!$B$11+'Balance Sheet'!$F$6)/Assumptions!$B$30</x:f>
        <x:v>103.10274022170773</x:v>
      </x:c>
      <x:c r="F10" s="47" t="n">
        <x:f>(SUMPRODUCT('DCF Valuation'!$G$13:$K$13,1/(1+$B10)^'DCF Valuation'!$G$14:$K$14)+('DCF Valuation'!$K$13*(1+F$5)/($B10-F$5))/(1+$B10)^'DCF Valuation'!$K$14-WACC!$B$11+'Balance Sheet'!$F$6)/Assumptions!$B$30</x:f>
        <x:v>110.770014712551</x:v>
      </x:c>
      <x:c r="G10" s="47" t="n">
        <x:f>(SUMPRODUCT('DCF Valuation'!$G$13:$K$13,1/(1+$B10)^'DCF Valuation'!$G$14:$K$14)+('DCF Valuation'!$K$13*(1+G$5)/($B10-G$5))/(1+$B10)^'DCF Valuation'!$K$14-WACC!$B$11+'Balance Sheet'!$F$6)/Assumptions!$B$30</x:f>
        <x:v>119.71516828520149</x:v>
      </x:c>
      <x:c r="H10" s="1"/>
      <x:c r="I10" s="1"/>
      <x:c r="J10" s="1"/>
      <x:c r="K10" s="1"/>
    </x:row>
    <x:row r="11">
      <x:c r="A11" s="1"/>
      <x:c r="B11" s="46">
        <x:v>9.5000000000000001E-2</x:v>
      </x:c>
      <x:c r="C11" s="47" t="n">
        <x:f>(SUMPRODUCT('DCF Valuation'!$G$13:$K$13,1/(1+$B11)^'DCF Valuation'!$G$14:$K$14)+('DCF Valuation'!$K$13*(1+C$5)/($B11-C$5))/(1+$B11)^'DCF Valuation'!$K$14-WACC!$B$11+'Balance Sheet'!$F$6)/Assumptions!$B$30</x:f>
        <x:v>83.71494446554073</x:v>
      </x:c>
      <x:c r="D11" s="47" t="n">
        <x:f>(SUMPRODUCT('DCF Valuation'!$G$13:$K$13,1/(1+$B11)^'DCF Valuation'!$G$14:$K$14)+('DCF Valuation'!$K$13*(1+D$5)/($B11-D$5))/(1+$B11)^'DCF Valuation'!$K$14-WACC!$B$11+'Balance Sheet'!$F$6)/Assumptions!$B$30</x:f>
        <x:v>88.75218872284822</x:v>
      </x:c>
      <x:c r="E11" s="47" t="n">
        <x:f>(SUMPRODUCT('DCF Valuation'!$G$13:$K$13,1/(1+$B11)^'DCF Valuation'!$G$14:$K$14)+('DCF Valuation'!$K$13*(1+E$5)/($B11-E$5))/(1+$B11)^'DCF Valuation'!$K$14-WACC!$B$11+'Balance Sheet'!$F$6)/Assumptions!$B$30</x:f>
        <x:v>94.46106554779674</x:v>
      </x:c>
      <x:c r="F11" s="47" t="n">
        <x:f>(SUMPRODUCT('DCF Valuation'!$G$13:$K$13,1/(1+$B11)^'DCF Valuation'!$G$14:$K$14)+('DCF Valuation'!$K$13*(1+F$5)/($B11-F$5))/(1+$B11)^'DCF Valuation'!$K$14-WACC!$B$11+'Balance Sheet'!$F$6)/Assumptions!$B$30</x:f>
        <x:v>100.98549620488073</x:v>
      </x:c>
      <x:c r="G11" s="47" t="n">
        <x:f>(SUMPRODUCT('DCF Valuation'!$G$13:$K$13,1/(1+$B11)^'DCF Valuation'!$G$14:$K$14)+('DCF Valuation'!$K$13*(1+G$5)/($B11-G$5))/(1+$B11)^'DCF Valuation'!$K$14-WACC!$B$11+'Balance Sheet'!$F$6)/Assumptions!$B$30</x:f>
        <x:v>108.51368542459304</x:v>
      </x:c>
      <x:c r="H11" s="1"/>
      <x:c r="I11" s="1"/>
      <x:c r="J11" s="1"/>
      <x:c r="K11" s="1"/>
    </x:row>
  </x:sheetData>
  <x:mergeCells>
    <x:mergeCell ref="A1:K1"/>
    <x:mergeCell ref="A2:K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32" customWidth="1"/>
    <x:col min="2" max="11" width="13" customWidth="1"/>
  </x:cols>
  <x:sheetData>
    <x:row r="1" ht="26" customHeight="1">
      <x:c r="A1" s="59" t="s">
        <x:v>167</x:v>
      </x:c>
      <x:c r="B1" s="59"/>
      <x:c r="C1" s="59"/>
      <x:c r="D1" s="59"/>
      <x:c r="E1" s="59"/>
      <x:c r="F1" s="59"/>
      <x:c r="G1" s="59"/>
      <x:c r="H1" s="59"/>
      <x:c r="I1" s="59"/>
      <x:c r="J1" s="59"/>
      <x:c r="K1" s="59"/>
    </x:row>
    <x:row r="2" ht="18" customHeight="1">
      <x:c r="A2" s="55" t="str">
        <x:v>Sources: market data providers and company filings; valuation date July 2, 2026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>
      <x:c r="A5" s="60" t="s">
        <x:v>168</x:v>
      </x:c>
      <x:c r="B5" s="60" t="s">
        <x:v>47</x:v>
      </x:c>
      <x:c r="C5" s="60" t="s">
        <x:v>169</x:v>
      </x:c>
      <x:c r="D5" s="60" t="s">
        <x:v>170</x:v>
      </x:c>
      <x:c r="E5" s="1"/>
      <x:c r="F5" s="1"/>
      <x:c r="G5" s="1"/>
      <x:c r="H5" s="1"/>
      <x:c r="I5" s="1"/>
      <x:c r="J5" s="1"/>
      <x:c r="K5" s="1"/>
    </x:row>
    <x:row r="6">
      <x:c r="A6" s="1" t="s">
        <x:v>171</x:v>
      </x:c>
      <x:c r="B6" s="49">
        <x:v>0.6</x:v>
      </x:c>
      <x:c r="C6" s="41">
        <x:v>42.53</x:v>
      </x:c>
      <x:c r="D6" s="41">
        <x:v>22.93</x:v>
      </x:c>
      <x:c r="E6" s="1"/>
      <x:c r="F6" s="1"/>
      <x:c r="G6" s="1"/>
      <x:c r="H6" s="1"/>
      <x:c r="I6" s="1"/>
      <x:c r="J6" s="1"/>
      <x:c r="K6" s="1"/>
    </x:row>
    <x:row r="7">
      <x:c r="A7" s="1" t="s">
        <x:v>172</x:v>
      </x:c>
      <x:c r="B7" s="49">
        <x:v>0.87</x:v>
      </x:c>
      <x:c r="C7" s="41">
        <x:v>46.51</x:v>
      </x:c>
      <x:c r="D7" s="41">
        <x:v>29.63</x:v>
      </x:c>
      <x:c r="E7" s="1"/>
      <x:c r="F7" s="1"/>
      <x:c r="G7" s="1"/>
      <x:c r="H7" s="1"/>
      <x:c r="I7" s="1"/>
      <x:c r="J7" s="1"/>
      <x:c r="K7" s="1"/>
    </x:row>
    <x:row r="8">
      <x:c r="A8" s="1" t="s">
        <x:v>173</x:v>
      </x:c>
      <x:c r="B8" s="49">
        <x:v>0.73</x:v>
      </x:c>
      <x:c r="C8" s="41">
        <x:v>33.119999999999997</x:v>
      </x:c>
      <x:c r="D8" s="41">
        <x:v>22.05</x:v>
      </x:c>
      <x:c r="E8" s="1"/>
      <x:c r="F8" s="1"/>
      <x:c r="G8" s="1"/>
      <x:c r="H8" s="1"/>
      <x:c r="I8" s="1"/>
      <x:c r="J8" s="1"/>
      <x:c r="K8" s="1"/>
    </x:row>
    <x:row r="9">
      <x:c r="A9" s="1" t="s">
        <x:v>174</x:v>
      </x:c>
      <x:c r="B9" s="49">
        <x:v>0.25</x:v>
      </x:c>
      <x:c r="C9" s="41">
        <x:v>16.71</x:v>
      </x:c>
      <x:c r="D9" s="41">
        <x:v>11.96</x:v>
      </x:c>
      <x:c r="E9" s="1"/>
      <x:c r="F9" s="1"/>
      <x:c r="G9" s="1"/>
      <x:c r="H9" s="1"/>
      <x:c r="I9" s="1"/>
      <x:c r="J9" s="1"/>
      <x:c r="K9" s="1"/>
    </x:row>
    <x:row r="10">
      <x:c r="A10" s="18" t="s">
        <x:v>175</x:v>
      </x:c>
      <x:c r="B10" s="50" t="n">
        <x:f>MEDIAN(B6:B9)</x:f>
        <x:v>0.665</x:v>
      </x:c>
      <x:c r="C10" s="51" t="n">
        <x:f>MEDIAN(C6:C9)</x:f>
        <x:v>37.825</x:v>
      </x:c>
      <x:c r="D10" s="51" t="n">
        <x:f>MEDIAN(D6:D9)</x:f>
        <x:v>22.490000000000002</x:v>
      </x:c>
      <x:c r="E10" s="1"/>
      <x:c r="F10" s="1"/>
      <x:c r="G10" s="1"/>
      <x:c r="H10" s="1"/>
      <x:c r="I10" s="1"/>
      <x:c r="J10" s="1"/>
      <x:c r="K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20" customHeight="1">
      <x:c r="A13" s="61" t="s">
        <x:v>176</x:v>
      </x:c>
      <x:c r="B13" s="61" t="s">
        <x:v>176</x:v>
      </x:c>
      <x:c r="C13" s="61" t="s">
        <x:v>176</x:v>
      </x:c>
      <x:c r="D13" s="61" t="s">
        <x:v>176</x:v>
      </x:c>
      <x:c r="E13" s="61" t="s">
        <x:v>176</x:v>
      </x:c>
      <x:c r="F13" s="61" t="s">
        <x:v>176</x:v>
      </x:c>
      <x:c r="G13" s="1"/>
      <x:c r="H13" s="1"/>
      <x:c r="I13" s="1"/>
      <x:c r="J13" s="1"/>
      <x:c r="K13" s="1"/>
    </x:row>
    <x:row r="14">
      <x:c r="A14" s="1" t="s">
        <x:v>177</x:v>
      </x:c>
      <x:c r="B14" s="15" t="n">
        <x:f>'Income Statement'!F26</x:f>
        <x:v>8.13</x:v>
      </x:c>
      <x:c r="C14" s="1"/>
      <x:c r="D14" s="1"/>
      <x:c r="E14" s="1"/>
      <x:c r="F14" s="1"/>
      <x:c r="G14" s="1"/>
      <x:c r="H14" s="1"/>
      <x:c r="I14" s="1"/>
      <x:c r="J14" s="1"/>
      <x:c r="K14" s="1"/>
    </x:row>
    <x:row r="15">
      <x:c r="A15" s="1" t="s">
        <x:v>178</x:v>
      </x:c>
      <x:c r="B15" s="15" t="n">
        <x:f>'Income Statement'!F14+'Cash Flow Statement'!F7</x:f>
        <x:v>8251</x:v>
      </x:c>
      <x:c r="C15" s="1"/>
      <x:c r="D15" s="1"/>
      <x:c r="E15" s="1"/>
      <x:c r="F15" s="1"/>
      <x:c r="G15" s="1"/>
      <x:c r="H15" s="1"/>
      <x:c r="I15" s="1"/>
      <x:c r="J15" s="1"/>
      <x:c r="K15" s="1"/>
    </x:row>
    <x:row r="16">
      <x:c r="A16" s="1" t="s">
        <x:v>179</x:v>
      </x:c>
      <x:c r="B16" s="15" t="n">
        <x:f>WACC!B8</x:f>
        <x:v>59140.079900000004</x:v>
      </x:c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" t="s">
        <x:v>180</x:v>
      </x:c>
      <x:c r="B17" s="15" t="n">
        <x:f>WACC!B8+WACC!B11-'Balance Sheet'!F6</x:f>
        <x:v>70108.07990000001</x:v>
      </x:c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 t="s">
        <x:v>181</x:v>
      </x:c>
      <x:c r="B18" s="52" t="n">
        <x:f>Assumptions!B24/B14</x:f>
        <x:v>16.015990159901598</x:v>
      </x:c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 t="s">
        <x:v>182</x:v>
      </x:c>
      <x:c r="B19" s="52" t="n">
        <x:f>B17/B15</x:f>
        <x:v>8.496919149194039</x:v>
      </x:c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 t="s">
        <x:v>183</x:v>
      </x:c>
      <x:c r="B20" s="27" t="n">
        <x:f>C10*B14</x:f>
        <x:v>307.51725000000005</x:v>
      </x:c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 t="s">
        <x:v>184</x:v>
      </x:c>
      <x:c r="B21" s="15" t="n">
        <x:f>D10*B15</x:f>
        <x:v>185564.99000000002</x:v>
      </x:c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 t="s">
        <x:v>185</x:v>
      </x:c>
      <x:c r="B22" s="27" t="n">
        <x:f>(B21-'WACC'!B11+'Balance Sheet'!F6)/'Assumptions'!B30</x:f>
        <x:v>383.2242976294996</x:v>
      </x:c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58" t="s">
        <x:v>186</x:v>
      </x:c>
      <x:c r="B25" s="58"/>
      <x:c r="C25" s="58"/>
      <x:c r="D25" s="58"/>
      <x:c r="E25" s="58"/>
      <x:c r="F25" s="58"/>
      <x:c r="G25" s="1"/>
      <x:c r="H25" s="1"/>
      <x:c r="I25" s="1"/>
      <x:c r="J25" s="1"/>
      <x:c r="K25" s="1"/>
    </x:row>
    <x:row r="26">
      <x:c r="A26" s="58"/>
      <x:c r="B26" s="58"/>
      <x:c r="C26" s="58"/>
      <x:c r="D26" s="58"/>
      <x:c r="E26" s="58"/>
      <x:c r="F26" s="58"/>
      <x:c r="G26" s="1"/>
      <x:c r="H26" s="1"/>
      <x:c r="I26" s="1"/>
      <x:c r="J26" s="1"/>
      <x:c r="K26" s="1"/>
    </x:row>
    <x:row r="27">
      <x:c r="A27" s="58"/>
      <x:c r="B27" s="58"/>
      <x:c r="C27" s="58"/>
      <x:c r="D27" s="58"/>
      <x:c r="E27" s="58"/>
      <x:c r="F27" s="58"/>
      <x:c r="G27" s="1"/>
      <x:c r="H27" s="1"/>
      <x:c r="I27" s="1"/>
      <x:c r="J27" s="1"/>
      <x:c r="K27" s="1"/>
    </x:row>
    <x:row r="28">
      <x:c r="A28" s="58"/>
      <x:c r="B28" s="58"/>
      <x:c r="C28" s="58"/>
      <x:c r="D28" s="58"/>
      <x:c r="E28" s="58"/>
      <x:c r="F28" s="58"/>
      <x:c r="G28" s="1"/>
      <x:c r="H28" s="1"/>
      <x:c r="I28" s="1"/>
      <x:c r="J28" s="1"/>
      <x:c r="K28" s="1"/>
    </x:row>
  </x:sheetData>
  <x:mergeCells>
    <x:mergeCell ref="A1:K1"/>
    <x:mergeCell ref="A2:K2"/>
    <x:mergeCell ref="A13:F13"/>
    <x:mergeCell ref="A25:F28"/>
  </x:mergeCells>
  <x:pageMargins left="0.7" right="0.7" top="0.75" bottom="0.75" header="0.3" footer="0.3"/>
</x:worksheet>
</file>