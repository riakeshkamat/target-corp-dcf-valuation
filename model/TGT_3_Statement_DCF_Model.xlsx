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ia/Documents/Codex/2026-07-14/files-mentioned-by-the-user-project/github_publish_ready/model/"/>
    </mc:Choice>
  </mc:AlternateContent>
  <xr:revisionPtr revIDLastSave="0" documentId="13_ncr:1_{918C7263-AFC4-C54C-A67B-D6726DAF922F}" xr6:coauthVersionLast="47" xr6:coauthVersionMax="47" xr10:uidLastSave="{00000000-0000-0000-0000-000000000000}"/>
  <bookViews>
    <workbookView xWindow="0" yWindow="660" windowWidth="29400" windowHeight="17240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Statement" sheetId="5" r:id="rId5"/>
    <sheet name="WACC" sheetId="6" r:id="rId6"/>
    <sheet name="DCF Valuation" sheetId="7" r:id="rId7"/>
    <sheet name="Sensitivity" sheetId="8" r:id="rId8"/>
    <sheet name="Trading Comp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/>
  <c r="B14" i="9"/>
  <c r="B18" i="9" s="1"/>
  <c r="D10" i="9"/>
  <c r="B21" i="9" s="1"/>
  <c r="C10" i="9"/>
  <c r="B20" i="9" s="1"/>
  <c r="B10" i="9"/>
  <c r="B36" i="7"/>
  <c r="B30" i="7"/>
  <c r="B28" i="7"/>
  <c r="B26" i="7"/>
  <c r="B21" i="7"/>
  <c r="G10" i="7"/>
  <c r="B20" i="6"/>
  <c r="B19" i="6"/>
  <c r="B21" i="6" s="1"/>
  <c r="B18" i="6"/>
  <c r="B17" i="6"/>
  <c r="B16" i="6"/>
  <c r="B15" i="6"/>
  <c r="B10" i="6"/>
  <c r="B11" i="6" s="1"/>
  <c r="B9" i="6"/>
  <c r="B7" i="6"/>
  <c r="B6" i="6"/>
  <c r="B8" i="6" s="1"/>
  <c r="G30" i="5"/>
  <c r="G20" i="5"/>
  <c r="G17" i="5"/>
  <c r="G13" i="5"/>
  <c r="E29" i="4"/>
  <c r="D29" i="4"/>
  <c r="B29" i="4"/>
  <c r="F28" i="4"/>
  <c r="F29" i="4" s="1"/>
  <c r="E28" i="4"/>
  <c r="D28" i="4"/>
  <c r="C28" i="4"/>
  <c r="C29" i="4" s="1"/>
  <c r="B28" i="4"/>
  <c r="K26" i="4"/>
  <c r="J26" i="4"/>
  <c r="I26" i="4"/>
  <c r="H26" i="4"/>
  <c r="G26" i="4"/>
  <c r="K23" i="4"/>
  <c r="J23" i="4"/>
  <c r="I23" i="4"/>
  <c r="H23" i="4"/>
  <c r="G23" i="4"/>
  <c r="K21" i="4"/>
  <c r="J21" i="4"/>
  <c r="I21" i="4"/>
  <c r="H21" i="4"/>
  <c r="G21" i="4"/>
  <c r="K20" i="4"/>
  <c r="J20" i="4"/>
  <c r="I20" i="4"/>
  <c r="H20" i="4"/>
  <c r="G20" i="4"/>
  <c r="G22" i="4" s="1"/>
  <c r="K19" i="4"/>
  <c r="J19" i="4"/>
  <c r="I19" i="4"/>
  <c r="H19" i="4"/>
  <c r="G19" i="4"/>
  <c r="K18" i="4"/>
  <c r="J18" i="4"/>
  <c r="J22" i="4" s="1"/>
  <c r="I18" i="4"/>
  <c r="I22" i="4" s="1"/>
  <c r="H18" i="4"/>
  <c r="G18" i="4"/>
  <c r="K16" i="4"/>
  <c r="J16" i="4"/>
  <c r="I16" i="4"/>
  <c r="H16" i="4"/>
  <c r="G16" i="4"/>
  <c r="G14" i="4"/>
  <c r="G14" i="5" s="1"/>
  <c r="G12" i="4"/>
  <c r="K11" i="4"/>
  <c r="J11" i="4"/>
  <c r="I11" i="4"/>
  <c r="H11" i="4"/>
  <c r="G11" i="4"/>
  <c r="G8" i="4"/>
  <c r="K24" i="3"/>
  <c r="J24" i="3"/>
  <c r="I24" i="3"/>
  <c r="H24" i="3"/>
  <c r="G24" i="3"/>
  <c r="K23" i="3"/>
  <c r="J23" i="3"/>
  <c r="I23" i="3"/>
  <c r="H23" i="3"/>
  <c r="G23" i="3"/>
  <c r="F22" i="3"/>
  <c r="E22" i="3"/>
  <c r="D22" i="3"/>
  <c r="C22" i="3"/>
  <c r="F20" i="3"/>
  <c r="E20" i="3"/>
  <c r="D20" i="3"/>
  <c r="C20" i="3"/>
  <c r="K17" i="3"/>
  <c r="J17" i="3"/>
  <c r="I17" i="3"/>
  <c r="H17" i="3"/>
  <c r="G17" i="3"/>
  <c r="K16" i="3"/>
  <c r="J16" i="3"/>
  <c r="I16" i="3"/>
  <c r="H16" i="3"/>
  <c r="G16" i="3"/>
  <c r="F15" i="3"/>
  <c r="E15" i="3"/>
  <c r="D15" i="3"/>
  <c r="C15" i="3"/>
  <c r="F13" i="3"/>
  <c r="E13" i="3"/>
  <c r="D13" i="3"/>
  <c r="C13" i="3"/>
  <c r="G11" i="3"/>
  <c r="F10" i="3"/>
  <c r="D10" i="3"/>
  <c r="C10" i="3"/>
  <c r="G9" i="3"/>
  <c r="F9" i="3"/>
  <c r="E9" i="3"/>
  <c r="E10" i="3" s="1"/>
  <c r="D9" i="3"/>
  <c r="C9" i="3"/>
  <c r="F7" i="3"/>
  <c r="E7" i="3"/>
  <c r="D7" i="3"/>
  <c r="C7" i="3"/>
  <c r="G6" i="3"/>
  <c r="G8" i="3" s="1"/>
  <c r="G7" i="4" s="1"/>
  <c r="B25" i="7" l="1"/>
  <c r="G13" i="3"/>
  <c r="G12" i="7"/>
  <c r="G12" i="5"/>
  <c r="G11" i="7"/>
  <c r="B17" i="9"/>
  <c r="B19" i="9" s="1"/>
  <c r="B16" i="9"/>
  <c r="K22" i="4"/>
  <c r="G17" i="4"/>
  <c r="H22" i="4"/>
  <c r="B22" i="9"/>
  <c r="B12" i="6"/>
  <c r="B14" i="6" s="1"/>
  <c r="G10" i="3"/>
  <c r="G14" i="3"/>
  <c r="G8" i="5"/>
  <c r="G24" i="4" s="1"/>
  <c r="G22" i="5"/>
  <c r="H6" i="3"/>
  <c r="G7" i="3"/>
  <c r="G12" i="3"/>
  <c r="G15" i="4"/>
  <c r="G15" i="5" s="1"/>
  <c r="G15" i="3" l="1"/>
  <c r="G18" i="3"/>
  <c r="G6" i="7"/>
  <c r="G9" i="7"/>
  <c r="G7" i="5"/>
  <c r="G10" i="4" s="1"/>
  <c r="B13" i="6"/>
  <c r="B22" i="6" s="1"/>
  <c r="H11" i="3"/>
  <c r="H13" i="3" s="1"/>
  <c r="H8" i="5"/>
  <c r="H7" i="3"/>
  <c r="I6" i="3"/>
  <c r="H8" i="4"/>
  <c r="H13" i="5" s="1"/>
  <c r="H17" i="5"/>
  <c r="H8" i="3"/>
  <c r="H9" i="3" s="1"/>
  <c r="H12" i="4"/>
  <c r="H20" i="5" s="1"/>
  <c r="H15" i="4"/>
  <c r="H15" i="5" s="1"/>
  <c r="H12" i="3"/>
  <c r="H24" i="4"/>
  <c r="H14" i="3" l="1"/>
  <c r="H10" i="3"/>
  <c r="G19" i="3"/>
  <c r="G20" i="3" s="1"/>
  <c r="I15" i="7"/>
  <c r="H15" i="7"/>
  <c r="G15" i="7"/>
  <c r="K15" i="7"/>
  <c r="J15" i="7"/>
  <c r="G7" i="7"/>
  <c r="G8" i="7" s="1"/>
  <c r="G13" i="7" s="1"/>
  <c r="I17" i="5"/>
  <c r="I8" i="4"/>
  <c r="I13" i="5" s="1"/>
  <c r="I8" i="3"/>
  <c r="I11" i="3"/>
  <c r="I12" i="4"/>
  <c r="I20" i="5" s="1"/>
  <c r="I8" i="5"/>
  <c r="I24" i="4" s="1"/>
  <c r="I15" i="4"/>
  <c r="I15" i="5" s="1"/>
  <c r="I12" i="3"/>
  <c r="J6" i="3"/>
  <c r="I7" i="3"/>
  <c r="H9" i="7"/>
  <c r="H7" i="5"/>
  <c r="H10" i="4" s="1"/>
  <c r="H14" i="4"/>
  <c r="H7" i="4"/>
  <c r="H22" i="5"/>
  <c r="H10" i="7"/>
  <c r="G16" i="7" l="1"/>
  <c r="I7" i="5"/>
  <c r="I10" i="4" s="1"/>
  <c r="I9" i="7"/>
  <c r="J12" i="4"/>
  <c r="J20" i="5" s="1"/>
  <c r="J17" i="5"/>
  <c r="J8" i="4"/>
  <c r="J13" i="5" s="1"/>
  <c r="J9" i="3"/>
  <c r="J8" i="3"/>
  <c r="J11" i="3"/>
  <c r="J8" i="5"/>
  <c r="J24" i="4" s="1"/>
  <c r="J15" i="4"/>
  <c r="J15" i="5" s="1"/>
  <c r="K6" i="3"/>
  <c r="J12" i="3"/>
  <c r="J7" i="3"/>
  <c r="I7" i="4"/>
  <c r="I14" i="4"/>
  <c r="I10" i="7"/>
  <c r="I22" i="5"/>
  <c r="G21" i="3"/>
  <c r="H11" i="7"/>
  <c r="H12" i="7"/>
  <c r="H12" i="5"/>
  <c r="H14" i="5"/>
  <c r="H17" i="4"/>
  <c r="I13" i="3"/>
  <c r="I9" i="3"/>
  <c r="H15" i="3"/>
  <c r="H18" i="3"/>
  <c r="H6" i="7"/>
  <c r="J10" i="4" l="1"/>
  <c r="J10" i="3"/>
  <c r="J14" i="3"/>
  <c r="J10" i="7"/>
  <c r="J22" i="5"/>
  <c r="H19" i="3"/>
  <c r="H20" i="3" s="1"/>
  <c r="I12" i="7"/>
  <c r="I12" i="5"/>
  <c r="I11" i="7"/>
  <c r="H7" i="7"/>
  <c r="H8" i="7"/>
  <c r="H13" i="7" s="1"/>
  <c r="H16" i="7" s="1"/>
  <c r="J9" i="7"/>
  <c r="J7" i="5"/>
  <c r="K15" i="4"/>
  <c r="K15" i="5" s="1"/>
  <c r="K12" i="3"/>
  <c r="K8" i="3"/>
  <c r="K11" i="3"/>
  <c r="K13" i="3" s="1"/>
  <c r="K8" i="5"/>
  <c r="K24" i="4" s="1"/>
  <c r="K12" i="4"/>
  <c r="K20" i="5" s="1"/>
  <c r="K17" i="5"/>
  <c r="K7" i="3"/>
  <c r="K8" i="4"/>
  <c r="K13" i="5" s="1"/>
  <c r="G25" i="5"/>
  <c r="G28" i="5" s="1"/>
  <c r="G26" i="3"/>
  <c r="G6" i="5"/>
  <c r="G16" i="5" s="1"/>
  <c r="G29" i="5" s="1"/>
  <c r="G31" i="5" s="1"/>
  <c r="G6" i="4" s="1"/>
  <c r="G22" i="3"/>
  <c r="G25" i="4"/>
  <c r="G25" i="3"/>
  <c r="J13" i="3"/>
  <c r="I14" i="3"/>
  <c r="I10" i="3"/>
  <c r="I17" i="4"/>
  <c r="I14" i="5"/>
  <c r="J14" i="4"/>
  <c r="J7" i="4"/>
  <c r="H30" i="5" l="1"/>
  <c r="G9" i="4"/>
  <c r="G13" i="4" s="1"/>
  <c r="G27" i="4"/>
  <c r="G28" i="4" s="1"/>
  <c r="K7" i="4"/>
  <c r="K14" i="4"/>
  <c r="K9" i="3"/>
  <c r="K10" i="7"/>
  <c r="K22" i="5"/>
  <c r="J17" i="4"/>
  <c r="J14" i="5"/>
  <c r="J15" i="3"/>
  <c r="J6" i="7"/>
  <c r="J18" i="3"/>
  <c r="I6" i="7"/>
  <c r="I18" i="3"/>
  <c r="I15" i="3"/>
  <c r="K7" i="5"/>
  <c r="K10" i="4" s="1"/>
  <c r="K9" i="7"/>
  <c r="J12" i="7"/>
  <c r="J12" i="5"/>
  <c r="J11" i="7"/>
  <c r="H21" i="3"/>
  <c r="K12" i="7" l="1"/>
  <c r="K12" i="5"/>
  <c r="K11" i="7"/>
  <c r="G29" i="4"/>
  <c r="I19" i="3"/>
  <c r="I20" i="3" s="1"/>
  <c r="H26" i="3"/>
  <c r="H25" i="5"/>
  <c r="H6" i="5"/>
  <c r="H16" i="5" s="1"/>
  <c r="H25" i="3"/>
  <c r="H22" i="3"/>
  <c r="I7" i="7"/>
  <c r="I8" i="7"/>
  <c r="I13" i="7" s="1"/>
  <c r="I16" i="7" s="1"/>
  <c r="J21" i="3"/>
  <c r="J19" i="3"/>
  <c r="J20" i="3" s="1"/>
  <c r="K10" i="3"/>
  <c r="K14" i="3"/>
  <c r="J7" i="7"/>
  <c r="J8" i="7"/>
  <c r="J13" i="7" s="1"/>
  <c r="J16" i="7" s="1"/>
  <c r="K17" i="4"/>
  <c r="K14" i="5"/>
  <c r="K18" i="3" l="1"/>
  <c r="K6" i="7"/>
  <c r="K15" i="3"/>
  <c r="H29" i="5"/>
  <c r="H31" i="5" s="1"/>
  <c r="H6" i="4" s="1"/>
  <c r="J25" i="3"/>
  <c r="J6" i="5"/>
  <c r="J16" i="5" s="1"/>
  <c r="J29" i="5" s="1"/>
  <c r="J25" i="5"/>
  <c r="J28" i="5" s="1"/>
  <c r="J22" i="3"/>
  <c r="J26" i="3"/>
  <c r="I21" i="3"/>
  <c r="H28" i="5"/>
  <c r="H25" i="4"/>
  <c r="I22" i="3" l="1"/>
  <c r="I26" i="3"/>
  <c r="I6" i="5"/>
  <c r="I16" i="5" s="1"/>
  <c r="I25" i="5"/>
  <c r="I28" i="5" s="1"/>
  <c r="I25" i="3"/>
  <c r="I30" i="5"/>
  <c r="H9" i="4"/>
  <c r="H13" i="4" s="1"/>
  <c r="H29" i="4" s="1"/>
  <c r="B35" i="7"/>
  <c r="B37" i="7" s="1"/>
  <c r="B38" i="7" s="1"/>
  <c r="K7" i="7"/>
  <c r="K8" i="7" s="1"/>
  <c r="K13" i="7" s="1"/>
  <c r="K19" i="3"/>
  <c r="K20" i="3" s="1"/>
  <c r="K21" i="3"/>
  <c r="I25" i="4"/>
  <c r="H27" i="4"/>
  <c r="H28" i="4" s="1"/>
  <c r="K16" i="7" l="1"/>
  <c r="B20" i="7" s="1"/>
  <c r="B22" i="7"/>
  <c r="B23" i="7" s="1"/>
  <c r="G11" i="8"/>
  <c r="E11" i="8"/>
  <c r="C9" i="8"/>
  <c r="E10" i="8"/>
  <c r="C11" i="8"/>
  <c r="D10" i="8"/>
  <c r="G9" i="8"/>
  <c r="G8" i="8"/>
  <c r="D9" i="8"/>
  <c r="F6" i="8"/>
  <c r="F7" i="8"/>
  <c r="E9" i="8"/>
  <c r="E7" i="8"/>
  <c r="C10" i="8"/>
  <c r="C6" i="8"/>
  <c r="D6" i="8"/>
  <c r="E8" i="8"/>
  <c r="D7" i="8"/>
  <c r="G6" i="8"/>
  <c r="F10" i="8"/>
  <c r="F8" i="8"/>
  <c r="D8" i="8"/>
  <c r="C7" i="8"/>
  <c r="F11" i="8"/>
  <c r="D11" i="8"/>
  <c r="G7" i="8"/>
  <c r="F9" i="8"/>
  <c r="C8" i="8"/>
  <c r="E6" i="8"/>
  <c r="G10" i="8"/>
  <c r="K25" i="5"/>
  <c r="K28" i="5" s="1"/>
  <c r="K22" i="3"/>
  <c r="K25" i="3"/>
  <c r="K6" i="5"/>
  <c r="K16" i="5" s="1"/>
  <c r="K29" i="5" s="1"/>
  <c r="K26" i="3"/>
  <c r="I31" i="5"/>
  <c r="I6" i="4" s="1"/>
  <c r="J25" i="4"/>
  <c r="I27" i="4"/>
  <c r="I28" i="4" s="1"/>
  <c r="I29" i="5"/>
  <c r="K25" i="4" l="1"/>
  <c r="K27" i="4" s="1"/>
  <c r="K28" i="4" s="1"/>
  <c r="J27" i="4"/>
  <c r="J28" i="4" s="1"/>
  <c r="I9" i="4"/>
  <c r="I13" i="4" s="1"/>
  <c r="I29" i="4" s="1"/>
  <c r="J30" i="5"/>
  <c r="J31" i="5" s="1"/>
  <c r="J6" i="4" s="1"/>
  <c r="B24" i="7"/>
  <c r="B27" i="7" s="1"/>
  <c r="B29" i="7" s="1"/>
  <c r="B31" i="7" s="1"/>
  <c r="B39" i="7"/>
  <c r="B40" i="7" s="1"/>
  <c r="B41" i="7" s="1"/>
  <c r="K30" i="5" l="1"/>
  <c r="K31" i="5" s="1"/>
  <c r="K6" i="4" s="1"/>
  <c r="K9" i="4" s="1"/>
  <c r="K13" i="4" s="1"/>
  <c r="K29" i="4" s="1"/>
  <c r="J9" i="4"/>
  <c r="J13" i="4" s="1"/>
  <c r="J2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tc={8584E62E-DCDE-D8EB-72CF-34E9CA7D6E15}</author>
    <author>tc={EAE8E2A1-06C4-9D67-6FA0-801351A8216C}</author>
    <author>tc={7A507D35-6CAC-42D3-91E3-364AB77DC1B4}</author>
    <author>tc={8D18D49C-B91F-2812-3D7E-5911D73BC2E6}</author>
    <author>tc={74D20B19-D085-3C93-F047-F10977AE3F03}</author>
  </authors>
  <commentList>
    <comment ref="B6" authorId="0" shapeId="0" xr:uid="{00000000-0006-0000-02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2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2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2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2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tc={5E2CB887-6F38-BE06-3B98-24ADF20398E1}</author>
    <author>tc={75C7A6B2-F89B-410F-925C-B2B698D8E3DA}</author>
    <author>tc={CC1BAD50-EB0A-0536-3FC5-DD6503EAC8E5}</author>
    <author>tc={4D263D90-DD39-E4C7-44EC-F74B2C29B855}</author>
    <author>tc={D8DC9A7E-E9AC-4530-60C3-D03DF4901632}</author>
  </authors>
  <commentList>
    <comment ref="B6" authorId="0" shapeId="0" xr:uid="{00000000-0006-0000-03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3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3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3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3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tc={03B57474-1757-207D-41F8-3CBE489CBAAE}</author>
    <author>tc={1ED385BB-04D1-20C0-23E6-E81C6665D129}</author>
    <author>tc={48A21EAB-A857-5CE0-5FFF-8A345DF5131C}</author>
    <author>tc={31408C6E-8A15-8303-465B-1A65C29ACBE7}</author>
    <author>tc={C45CF1BB-F06F-96C8-9D92-C8FF19512E24}</author>
  </authors>
  <commentList>
    <comment ref="B6" authorId="0" shapeId="0" xr:uid="{00000000-0006-0000-04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2021 Form 10-K, filed March 9, 2022, SEC EDGAR.</t>
      </text>
    </comment>
    <comment ref="C6" authorId="1" shapeId="0" xr:uid="{00000000-0006-0000-04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2022 Form 10-K, filed March 8, 2023, SEC EDGAR.</t>
      </text>
    </comment>
    <comment ref="D6" authorId="2" shapeId="0" xr:uid="{00000000-0006-0000-04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2023 Form 10-K, filed March 13, 2024, SEC EDGAR: https://www.sec.gov/Archives/edgar/data/27419/000002741924000032/tgt-20240203.htm</t>
      </text>
    </comment>
    <comment ref="E6" authorId="3" shapeId="0" xr:uid="{00000000-0006-0000-04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2024 Form 10-K, filed March 12, 2025, SEC EDGAR.</t>
      </text>
    </comment>
    <comment ref="F6" authorId="4" shapeId="0" xr:uid="{00000000-0006-0000-04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2025 Form 10-K, filed March 11, 2026, SEC EDGAR.</t>
      </text>
    </comment>
  </commentList>
</comments>
</file>

<file path=xl/sharedStrings.xml><?xml version="1.0" encoding="utf-8"?>
<sst xmlns="http://schemas.openxmlformats.org/spreadsheetml/2006/main" count="325" uniqueCount="196">
  <si>
    <t>TARGET CORPORATION</t>
  </si>
  <si>
    <t>Full 3-Statement Model + DCF Valuation</t>
  </si>
  <si>
    <t>Purpose</t>
  </si>
  <si>
    <t>Full 3-statement model and DCF valuation of Target Corporation's equity value</t>
  </si>
  <si>
    <t>Prepared by</t>
  </si>
  <si>
    <t>Model date</t>
  </si>
  <si>
    <t>July 14, 2026</t>
  </si>
  <si>
    <t>Valuation date</t>
  </si>
  <si>
    <t>July 2, 2026</t>
  </si>
  <si>
    <t>Units</t>
  </si>
  <si>
    <t>$ millions, except per-share data</t>
  </si>
  <si>
    <t>Case</t>
  </si>
  <si>
    <t>Base case</t>
  </si>
  <si>
    <t>Data sources</t>
  </si>
  <si>
    <t>Target Corporation Forms 10-K (FY2021–FY2025), SEC EDGAR; U.S. Treasury; Yahoo Finance / StockAnalysis.com</t>
  </si>
  <si>
    <t>Model status</t>
  </si>
  <si>
    <t>All annual balance checks equal zero</t>
  </si>
  <si>
    <t>Target Corporation — Assumptions</t>
  </si>
  <si>
    <t>Blue font = input | Yellow fill = key flex assumption | FY2026E–FY2030E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</si>
  <si>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</si>
  <si>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</si>
  <si>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</si>
  <si>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</si>
  <si>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</si>
  <si>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</si>
  <si>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</si>
  <si>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</si>
  <si>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</si>
  <si>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</si>
  <si>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Operating Assumptions</t>
  </si>
  <si>
    <t>Revenue Growth %</t>
  </si>
  <si>
    <t>Gross Margin %</t>
  </si>
  <si>
    <t>SG&amp;A % of Revenue</t>
  </si>
  <si>
    <t>D&amp;A % of Revenue</t>
  </si>
  <si>
    <t>Capex % of Revenue</t>
  </si>
  <si>
    <t>Effective Tax Rate %</t>
  </si>
  <si>
    <t>Working Capital &amp; Other Drivers</t>
  </si>
  <si>
    <t>Inventory as % of COGS</t>
  </si>
  <si>
    <t>AP as % of COGS</t>
  </si>
  <si>
    <t>Other Current Assets % of Revenue</t>
  </si>
  <si>
    <t>Accrued Expenses % of Revenue</t>
  </si>
  <si>
    <t>Other LT Assets % of Revenue</t>
  </si>
  <si>
    <t>SBC % of Revenue</t>
  </si>
  <si>
    <t>Dividend Payout Ratio</t>
  </si>
  <si>
    <t>WACC Inputs</t>
  </si>
  <si>
    <t>Current Share Price</t>
  </si>
  <si>
    <t>NYSE close, July 2, 2026</t>
  </si>
  <si>
    <t>Diluted Shares Outstanding</t>
  </si>
  <si>
    <t>Most recently reported shares outstanding</t>
  </si>
  <si>
    <t>Risk-Free Rate</t>
  </si>
  <si>
    <t>10Y U.S. Treasury daily par yield curve, July 2, 2026</t>
  </si>
  <si>
    <t>Beta</t>
  </si>
  <si>
    <t>Yahoo Finance / Google Finance, 5Y monthly</t>
  </si>
  <si>
    <t>Equity Risk Premium</t>
  </si>
  <si>
    <t>Long-run U.S. equity risk premium</t>
  </si>
  <si>
    <t>Pre-Tax Cost of Debt</t>
  </si>
  <si>
    <t>10Y risk-free + ~85bps retail credit spread (forward rate, not TGT's historical effective rate)</t>
  </si>
  <si>
    <t>Terminal Value Assumptions</t>
  </si>
  <si>
    <t>Perpetuity Growth Rate</t>
  </si>
  <si>
    <t>Long-run GDP/inflation growth assumption</t>
  </si>
  <si>
    <t>Exit EV/EBITDA Multiple</t>
  </si>
  <si>
    <t>Conservative, slightly below TGT's current ~9.0x multiple</t>
  </si>
  <si>
    <t>Methodology Notes</t>
  </si>
  <si>
    <t>FY2021A/FY2022A revenue combines the original 'Sales' + 'Other revenue' lines to match the single 'Net sales' line used from FY2023A onward. FY2026E-FY2030E operating assumptions are the base case; working-capital ratios are held flat at FY2025A levels.</t>
  </si>
  <si>
    <t>Target Corporation — Income Statement</t>
  </si>
  <si>
    <t>($ in millions, except per-share data)</t>
  </si>
  <si>
    <t>Net Sales</t>
  </si>
  <si>
    <t>Cost of Sales</t>
  </si>
  <si>
    <t>Gross Profit</t>
  </si>
  <si>
    <t>SG&amp;A</t>
  </si>
  <si>
    <t>D&amp;A (in Opex)</t>
  </si>
  <si>
    <t>Total Operating Expenses</t>
  </si>
  <si>
    <t>Operating Income</t>
  </si>
  <si>
    <t>Operating Margin %</t>
  </si>
  <si>
    <t>Net Interest Expense</t>
  </si>
  <si>
    <t>Net Other Income/(Expense)</t>
  </si>
  <si>
    <t>Earnings Before Income Taxes</t>
  </si>
  <si>
    <t>Provision for Income Taxes</t>
  </si>
  <si>
    <t>Net Earnings</t>
  </si>
  <si>
    <t>Net Margin %</t>
  </si>
  <si>
    <t>Weighted Avg Basic Shares</t>
  </si>
  <si>
    <t>Weighted Avg Diluted Shares</t>
  </si>
  <si>
    <t>Basic EPS</t>
  </si>
  <si>
    <t>Diluted EPS</t>
  </si>
  <si>
    <t>Target Corporation — Balance Sheet</t>
  </si>
  <si>
    <t>Cash &amp; Cash Equivalents</t>
  </si>
  <si>
    <t>Inventory</t>
  </si>
  <si>
    <t>Other Current Assets</t>
  </si>
  <si>
    <t>Total Current Assets</t>
  </si>
  <si>
    <t>Property &amp; Equipment, net</t>
  </si>
  <si>
    <t>Operating Lease Assets</t>
  </si>
  <si>
    <t>Other Noncurrent Assets</t>
  </si>
  <si>
    <t>Total Assets</t>
  </si>
  <si>
    <t>Accounts Payable</t>
  </si>
  <si>
    <t>Accrued &amp; Other Current Liabilities</t>
  </si>
  <si>
    <t>Current Portion of LT Debt</t>
  </si>
  <si>
    <t>Total Current Liabilities</t>
  </si>
  <si>
    <t>Long-Term Debt</t>
  </si>
  <si>
    <t>Noncurrent Operating Lease Liabilities</t>
  </si>
  <si>
    <t>Deferred Income Taxes</t>
  </si>
  <si>
    <t>Other Noncurrent Liabilities</t>
  </si>
  <si>
    <t>Total Noncurrent Liabilities</t>
  </si>
  <si>
    <t>Common Stock</t>
  </si>
  <si>
    <t>Additional Paid-in Capital</t>
  </si>
  <si>
    <t>Retained Earnings</t>
  </si>
  <si>
    <t>Accumulated Other Comprehensive Loss</t>
  </si>
  <si>
    <t>Total Shareholders’ Investment</t>
  </si>
  <si>
    <t>Total Liabilities &amp; Equity</t>
  </si>
  <si>
    <t>Balance Check</t>
  </si>
  <si>
    <t>Target Corporation — Cash Flow Statement</t>
  </si>
  <si>
    <t>D&amp;A (full, CFS basis)</t>
  </si>
  <si>
    <t>Share-Based Compensation</t>
  </si>
  <si>
    <t>Gain on Dermstore Sale</t>
  </si>
  <si>
    <t>Noncash (Gains)/Losses &amp; Other, net</t>
  </si>
  <si>
    <t>Changes in Inventory</t>
  </si>
  <si>
    <t>Changes in Other Current Assets</t>
  </si>
  <si>
    <t>Changes in Accounts Payable</t>
  </si>
  <si>
    <t>Changes in Accrued &amp; Other Liabilities</t>
  </si>
  <si>
    <t>Cash from Operating Activities</t>
  </si>
  <si>
    <t>Capital Expenditures</t>
  </si>
  <si>
    <t>Proceeds from Disposal of PP&amp;E</t>
  </si>
  <si>
    <t>Proceeds from Dermstore Sale</t>
  </si>
  <si>
    <t>Change in Other LT Assets / Other Investing</t>
  </si>
  <si>
    <t>Other Investing</t>
  </si>
  <si>
    <t>Cash used in Investing Activities</t>
  </si>
  <si>
    <t>Additions to Long-Term Debt</t>
  </si>
  <si>
    <t>Reductions of Long-Term Debt</t>
  </si>
  <si>
    <t>Dividends Paid</t>
  </si>
  <si>
    <t>Repurchase of Stock</t>
  </si>
  <si>
    <t>Stock Option Exercises / Shares Withheld</t>
  </si>
  <si>
    <t>Cash used in Financing Activities</t>
  </si>
  <si>
    <t>Net Change in Cash</t>
  </si>
  <si>
    <t>Beginning Cash</t>
  </si>
  <si>
    <t>Ending Cash</t>
  </si>
  <si>
    <t>Target Corporation — WACC</t>
  </si>
  <si>
    <t>Market data as of July 2, 2026 | $ in millions</t>
  </si>
  <si>
    <t>Capitalization &amp; Cost of Capital</t>
  </si>
  <si>
    <t>Share Price</t>
  </si>
  <si>
    <t>Market Value of Equity</t>
  </si>
  <si>
    <t>Market Value of Debt</t>
  </si>
  <si>
    <t>Total Capital</t>
  </si>
  <si>
    <t>Equity Weight</t>
  </si>
  <si>
    <t>Debt Weight</t>
  </si>
  <si>
    <t>Cost of Equity (CAPM)</t>
  </si>
  <si>
    <t>Effective Tax Rate</t>
  </si>
  <si>
    <t>After-Tax Cost of Debt</t>
  </si>
  <si>
    <t>WACC</t>
  </si>
  <si>
    <t>Target Corporation — DCF Valuation</t>
  </si>
  <si>
    <t>EBIT</t>
  </si>
  <si>
    <t>Cash Taxes on EBIT</t>
  </si>
  <si>
    <t>NOPAT</t>
  </si>
  <si>
    <t>D&amp;A</t>
  </si>
  <si>
    <t>Net Working Capital</t>
  </si>
  <si>
    <t>Change in Net Working Capital</t>
  </si>
  <si>
    <t>Unlevered Free Cash Flow</t>
  </si>
  <si>
    <t>Discount Period</t>
  </si>
  <si>
    <t>Discount Factor</t>
  </si>
  <si>
    <t>PV of UFCF</t>
  </si>
  <si>
    <t>Gordon Growth Method</t>
  </si>
  <si>
    <t>Sum PV of Explicit UFCF</t>
  </si>
  <si>
    <t>Terminal Growth Rate</t>
  </si>
  <si>
    <t>Terminal Value</t>
  </si>
  <si>
    <t>PV of Terminal Value</t>
  </si>
  <si>
    <t>Enterprise Value</t>
  </si>
  <si>
    <t>Less: Debt</t>
  </si>
  <si>
    <t>Add: Cash</t>
  </si>
  <si>
    <t>Equity Value</t>
  </si>
  <si>
    <t>Diluted Shares</t>
  </si>
  <si>
    <t>Implied Share Price</t>
  </si>
  <si>
    <t>Implied Upside / (Downside)</t>
  </si>
  <si>
    <t>Exit Multiple Cross-Check</t>
  </si>
  <si>
    <t>FY2030E EBITDA</t>
  </si>
  <si>
    <t>Target Corporation — DCF Sensitivity</t>
  </si>
  <si>
    <t>WACC ↓ / Terminal Growth →</t>
  </si>
  <si>
    <t>Target Corporation — Trading Comps</t>
  </si>
  <si>
    <t>Source: company filings, July 2026</t>
  </si>
  <si>
    <t>Company</t>
  </si>
  <si>
    <t>P/E (Trailing)</t>
  </si>
  <si>
    <t>EV/EBITDA</t>
  </si>
  <si>
    <t>Walmart (WMT)</t>
  </si>
  <si>
    <t>Costco (COST)</t>
  </si>
  <si>
    <t>TJX Companies (TJX)</t>
  </si>
  <si>
    <t>Dollar General (DG)</t>
  </si>
  <si>
    <t>Peer Median</t>
  </si>
  <si>
    <t>Target &amp; Implied Valuation</t>
  </si>
  <si>
    <t>Target FY2025A EPS</t>
  </si>
  <si>
    <t>Target FY2025A EBITDA</t>
  </si>
  <si>
    <t>Target Market Capitalization</t>
  </si>
  <si>
    <t>Target Enterprise Value</t>
  </si>
  <si>
    <t>Target P/E</t>
  </si>
  <si>
    <t>Target EV/EBITDA</t>
  </si>
  <si>
    <t>Implied Price — Peer Median P/E</t>
  </si>
  <si>
    <t>Implied EV — Peer Median EV/EBITDA</t>
  </si>
  <si>
    <t>Implied Price — Peer Median EV/EBITDA</t>
  </si>
  <si>
    <t>Note: WMT/COST/TJX trade at premium multiples vs. TGT's growth profile, peer median shown as a directional reference only.</t>
  </si>
  <si>
    <t>Ria Keshkamat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</si>
</sst>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;[Red]\(0.0%\);\-"/>
    <numFmt numFmtId="165" formatCode="\$#,##0.00;[Red]\(\$#,##0.00\);\-"/>
    <numFmt numFmtId="166" formatCode="0.0%"/>
    <numFmt numFmtId="167" formatCode="0.0\x"/>
    <numFmt numFmtId="168" formatCode="#,##0;[Red]\(#,##0\);\-"/>
    <numFmt numFmtId="169" formatCode="0.000\x"/>
  </numFmts>
  <fonts count="16">
    <font>
      <sz val="11"/>
      <name val="Carlito"/>
    </font>
    <font>
      <b/>
      <sz val="24"/>
      <color rgb="FFFFFFFF"/>
      <name val="Arial"/>
      <family val="2"/>
    </font>
    <font>
      <b/>
      <sz val="15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6"/>
      <color rgb="FFFFFFFF"/>
      <name val="Arial"/>
      <family val="2"/>
    </font>
    <font>
      <i/>
      <sz val="9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sz val="9"/>
      <color rgb="FF666666"/>
      <name val="Arial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b/>
      <sz val="11"/>
      <color rgb="FF008000"/>
      <name val="Arial"/>
      <family val="2"/>
    </font>
    <font>
      <b/>
      <sz val="11"/>
      <color rgb="FFFFFFFF"/>
      <name val="Arial"/>
      <family val="2"/>
    </font>
    <font>
      <i/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1F4E78"/>
      </left>
      <right/>
      <top/>
      <bottom style="thin">
        <color rgb="FF000000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0" borderId="0" xfId="0" applyFont="1"/>
    <xf numFmtId="0" fontId="4" fillId="4" borderId="0" xfId="0" applyFont="1" applyFill="1"/>
    <xf numFmtId="0" fontId="3" fillId="0" borderId="0" xfId="0" applyFont="1" applyAlignment="1">
      <alignment wrapText="1"/>
    </xf>
    <xf numFmtId="0" fontId="4" fillId="5" borderId="1" xfId="0" applyFont="1" applyFill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164" fontId="8" fillId="6" borderId="0" xfId="0" applyNumberFormat="1" applyFont="1" applyFill="1"/>
    <xf numFmtId="165" fontId="8" fillId="6" borderId="0" xfId="0" applyNumberFormat="1" applyFont="1" applyFill="1"/>
    <xf numFmtId="0" fontId="9" fillId="0" borderId="0" xfId="0" applyFont="1" applyAlignment="1">
      <alignment wrapText="1"/>
    </xf>
    <xf numFmtId="2" fontId="8" fillId="6" borderId="0" xfId="0" applyNumberFormat="1" applyFont="1" applyFill="1"/>
    <xf numFmtId="10" fontId="8" fillId="6" borderId="0" xfId="0" applyNumberFormat="1" applyFont="1" applyFill="1"/>
    <xf numFmtId="166" fontId="8" fillId="6" borderId="0" xfId="0" applyNumberFormat="1" applyFont="1" applyFill="1"/>
    <xf numFmtId="167" fontId="8" fillId="6" borderId="0" xfId="0" applyNumberFormat="1" applyFont="1" applyFill="1"/>
    <xf numFmtId="168" fontId="8" fillId="0" borderId="0" xfId="0" applyNumberFormat="1" applyFont="1"/>
    <xf numFmtId="168" fontId="10" fillId="0" borderId="0" xfId="0" applyNumberFormat="1" applyFont="1"/>
    <xf numFmtId="164" fontId="8" fillId="0" borderId="0" xfId="0" applyNumberFormat="1" applyFont="1"/>
    <xf numFmtId="164" fontId="11" fillId="0" borderId="0" xfId="0" applyNumberFormat="1" applyFont="1"/>
    <xf numFmtId="0" fontId="4" fillId="0" borderId="4" xfId="0" applyFont="1" applyBorder="1"/>
    <xf numFmtId="168" fontId="12" fillId="0" borderId="4" xfId="0" applyNumberFormat="1" applyFont="1" applyBorder="1"/>
    <xf numFmtId="168" fontId="7" fillId="0" borderId="4" xfId="0" applyNumberFormat="1" applyFont="1" applyBorder="1"/>
    <xf numFmtId="168" fontId="11" fillId="0" borderId="0" xfId="0" applyNumberFormat="1" applyFont="1"/>
    <xf numFmtId="2" fontId="8" fillId="0" borderId="0" xfId="0" applyNumberFormat="1" applyFont="1"/>
    <xf numFmtId="2" fontId="11" fillId="0" borderId="0" xfId="0" applyNumberFormat="1" applyFont="1"/>
    <xf numFmtId="0" fontId="4" fillId="7" borderId="4" xfId="0" applyFont="1" applyFill="1" applyBorder="1"/>
    <xf numFmtId="168" fontId="12" fillId="7" borderId="4" xfId="0" applyNumberFormat="1" applyFont="1" applyFill="1" applyBorder="1"/>
    <xf numFmtId="168" fontId="7" fillId="7" borderId="4" xfId="0" applyNumberFormat="1" applyFont="1" applyFill="1" applyBorder="1"/>
    <xf numFmtId="165" fontId="10" fillId="0" borderId="0" xfId="0" applyNumberFormat="1" applyFont="1"/>
    <xf numFmtId="168" fontId="13" fillId="0" borderId="4" xfId="0" applyNumberFormat="1" applyFont="1" applyBorder="1"/>
    <xf numFmtId="10" fontId="10" fillId="0" borderId="0" xfId="0" applyNumberFormat="1" applyFont="1"/>
    <xf numFmtId="2" fontId="10" fillId="0" borderId="0" xfId="0" applyNumberFormat="1" applyFont="1"/>
    <xf numFmtId="0" fontId="4" fillId="7" borderId="5" xfId="0" applyFont="1" applyFill="1" applyBorder="1"/>
    <xf numFmtId="10" fontId="13" fillId="7" borderId="5" xfId="0" applyNumberFormat="1" applyFont="1" applyFill="1" applyBorder="1"/>
    <xf numFmtId="0" fontId="4" fillId="4" borderId="0" xfId="0" applyFont="1" applyFill="1" applyAlignment="1">
      <alignment horizontal="right"/>
    </xf>
    <xf numFmtId="169" fontId="10" fillId="0" borderId="0" xfId="0" applyNumberFormat="1" applyFont="1"/>
    <xf numFmtId="168" fontId="3" fillId="0" borderId="0" xfId="0" applyNumberFormat="1" applyFont="1"/>
    <xf numFmtId="166" fontId="3" fillId="0" borderId="0" xfId="0" applyNumberFormat="1" applyFont="1"/>
    <xf numFmtId="165" fontId="4" fillId="7" borderId="4" xfId="0" applyNumberFormat="1" applyFont="1" applyFill="1" applyBorder="1"/>
    <xf numFmtId="0" fontId="4" fillId="7" borderId="0" xfId="0" applyFont="1" applyFill="1"/>
    <xf numFmtId="165" fontId="4" fillId="7" borderId="0" xfId="0" applyNumberFormat="1" applyFont="1" applyFill="1"/>
    <xf numFmtId="166" fontId="4" fillId="7" borderId="0" xfId="0" applyNumberFormat="1" applyFont="1" applyFill="1"/>
    <xf numFmtId="167" fontId="3" fillId="0" borderId="0" xfId="0" applyNumberFormat="1" applyFont="1"/>
    <xf numFmtId="0" fontId="4" fillId="4" borderId="4" xfId="0" applyFont="1" applyFill="1" applyBorder="1"/>
    <xf numFmtId="165" fontId="4" fillId="4" borderId="4" xfId="0" applyNumberFormat="1" applyFont="1" applyFill="1" applyBorder="1"/>
    <xf numFmtId="0" fontId="14" fillId="3" borderId="0" xfId="0" applyFont="1" applyFill="1" applyAlignment="1">
      <alignment horizontal="center"/>
    </xf>
    <xf numFmtId="166" fontId="14" fillId="3" borderId="0" xfId="0" applyNumberFormat="1" applyFont="1" applyFill="1" applyAlignment="1">
      <alignment horizontal="center"/>
    </xf>
    <xf numFmtId="166" fontId="4" fillId="4" borderId="0" xfId="0" applyNumberFormat="1" applyFont="1" applyFill="1"/>
    <xf numFmtId="165" fontId="10" fillId="0" borderId="6" xfId="0" applyNumberFormat="1" applyFont="1" applyBorder="1" applyAlignment="1">
      <alignment horizontal="right"/>
    </xf>
    <xf numFmtId="165" fontId="13" fillId="6" borderId="6" xfId="0" applyNumberFormat="1" applyFont="1" applyFill="1" applyBorder="1" applyAlignment="1">
      <alignment horizontal="right"/>
    </xf>
    <xf numFmtId="2" fontId="3" fillId="0" borderId="0" xfId="0" applyNumberFormat="1" applyFont="1"/>
    <xf numFmtId="2" fontId="4" fillId="0" borderId="4" xfId="0" applyNumberFormat="1" applyFont="1" applyBorder="1"/>
    <xf numFmtId="167" fontId="4" fillId="0" borderId="4" xfId="0" applyNumberFormat="1" applyFont="1" applyBorder="1"/>
    <xf numFmtId="167" fontId="10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6" fillId="0" borderId="0" xfId="0" applyFont="1"/>
    <xf numFmtId="0" fontId="7" fillId="0" borderId="3" xfId="0" applyFont="1" applyBorder="1"/>
    <xf numFmtId="0" fontId="3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5" fillId="8" borderId="0" xfId="0" applyFont="1" applyFill="1" applyAlignment="1">
      <alignment vertical="center"/>
    </xf>
    <xf numFmtId="0" fontId="14" fillId="8" borderId="0" xfId="0" applyFont="1" applyFill="1"/>
    <xf numFmtId="0" fontId="1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203200</xdr:colOff>
      <xdr:row>65</xdr:row>
      <xdr:rowOff>139700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31ADCA99-AB78-AD41-C6E4-5E4F4ABDE18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736600</xdr:colOff>
      <xdr:row>65</xdr:row>
      <xdr:rowOff>139700</xdr:rowOff>
    </xdr:to>
    <xdr:sp macro="" textlink="">
      <xdr:nvSpPr>
        <xdr:cNvPr id="2054" name="Text Box 6" hidden="1">
          <a:extLst>
            <a:ext uri="{FF2B5EF4-FFF2-40B4-BE49-F238E27FC236}">
              <a16:creationId xmlns:a16="http://schemas.microsoft.com/office/drawing/2014/main" id="{C7493C80-3B10-9CD7-EDA9-ADE9E4561ED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431800</xdr:colOff>
      <xdr:row>65</xdr:row>
      <xdr:rowOff>139700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50E7DC4B-0C90-FCBD-C143-7901A5FD72B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ia" id="{3F8CE162-3EBB-4683-92DD-EBDAC98256FF}" userId="" providerId="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8584E62E-DCDE-D8EB-72CF-34E9CA7D6E15}">
    <text>Target 2021 Form 10-K, filed March 9, 2022, SEC EDGAR.</text>
  </threadedComment>
  <threadedComment ref="C6" dT="2026-07-19T19:46:41.82" personId="{3F8CE162-3EBB-4683-92DD-EBDAC98256FF}" id="{EAE8E2A1-06C4-9D67-6FA0-801351A8216C}">
    <text>Target 2022 Form 10-K, filed March 8, 2023, SEC EDGAR.</text>
  </threadedComment>
  <threadedComment ref="D6" dT="2026-07-19T19:46:41.82" personId="{3F8CE162-3EBB-4683-92DD-EBDAC98256FF}" id="{7A507D35-6CAC-42D3-91E3-364AB77DC1B4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8D18D49C-B91F-2812-3D7E-5911D73BC2E6}">
    <text>Target 2024 Form 10-K, filed March 12, 2025, SEC EDGAR.</text>
  </threadedComment>
  <threadedComment ref="F6" dT="2026-07-19T19:46:41.82" personId="{3F8CE162-3EBB-4683-92DD-EBDAC98256FF}" id="{74D20B19-D085-3C93-F047-F10977AE3F03}">
    <text>Target 2025 Form 10-K, filed March 11, 2026, SEC EDGAR.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5E2CB887-6F38-BE06-3B98-24ADF20398E1}">
    <text>Target 2021 Form 10-K, filed March 9, 2022, SEC EDGAR.</text>
  </threadedComment>
  <threadedComment ref="C6" dT="2026-07-19T19:46:41.82" personId="{3F8CE162-3EBB-4683-92DD-EBDAC98256FF}" id="{75C7A6B2-F89B-410F-925C-B2B698D8E3DA}">
    <text>Target 2022 Form 10-K, filed March 8, 2023, SEC EDGAR.</text>
  </threadedComment>
  <threadedComment ref="D6" dT="2026-07-19T19:46:41.82" personId="{3F8CE162-3EBB-4683-92DD-EBDAC98256FF}" id="{CC1BAD50-EB0A-0536-3FC5-DD6503EAC8E5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4D263D90-DD39-E4C7-44EC-F74B2C29B855}">
    <text>Target 2024 Form 10-K, filed March 12, 2025, SEC EDGAR.</text>
  </threadedComment>
  <threadedComment ref="F6" dT="2026-07-19T19:46:41.82" personId="{3F8CE162-3EBB-4683-92DD-EBDAC98256FF}" id="{D8DC9A7E-E9AC-4530-60C3-D03DF4901632}">
    <text>Target 2025 Form 10-K, filed March 11, 2026, SEC EDGAR.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6" dT="2026-07-19T19:46:41.82" personId="{3F8CE162-3EBB-4683-92DD-EBDAC98256FF}" id="{03B57474-1757-207D-41F8-3CBE489CBAAE}">
    <text>Target 2021 Form 10-K, filed March 9, 2022, SEC EDGAR.</text>
  </threadedComment>
  <threadedComment ref="C6" dT="2026-07-19T19:46:41.82" personId="{3F8CE162-3EBB-4683-92DD-EBDAC98256FF}" id="{1ED385BB-04D1-20C0-23E6-E81C6665D129}">
    <text>Target 2022 Form 10-K, filed March 8, 2023, SEC EDGAR.</text>
  </threadedComment>
  <threadedComment ref="D6" dT="2026-07-19T19:46:41.82" personId="{3F8CE162-3EBB-4683-92DD-EBDAC98256FF}" id="{48A21EAB-A857-5CE0-5FFF-8A345DF5131C}">
    <text>Target 2023 Form 10-K, filed March 13, 2024, SEC EDGAR: https://www.sec.gov/Archives/edgar/data/27419/000002741924000032/tgt-20240203.htm</text>
  </threadedComment>
  <threadedComment ref="E6" dT="2026-07-19T19:46:41.82" personId="{3F8CE162-3EBB-4683-92DD-EBDAC98256FF}" id="{31408C6E-8A15-8303-465B-1A65C29ACBE7}">
    <text>Target 2024 Form 10-K, filed March 12, 2025, SEC EDGAR.</text>
  </threadedComment>
  <threadedComment ref="F6" dT="2026-07-19T19:46:41.82" personId="{3F8CE162-3EBB-4683-92DD-EBDAC98256FF}" id="{C45CF1BB-F06F-96C8-9D92-C8FF19512E24}">
    <text>Target 2025 Form 10-K, filed March 11, 2026, SEC EDGAR.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4"/>
  <sheetViews>
    <sheetView showGridLines="0" tabSelected="1" workbookViewId="0">
      <selection activeCell="G13" sqref="G13"/>
    </sheetView>
  </sheetViews>
  <sheetFormatPr baseColWidth="10" defaultColWidth="8.83203125" defaultRowHeight="15"/>
  <cols>
    <col min="1" max="1" width="3" customWidth="1"/>
    <col min="2" max="2" width="22" customWidth="1"/>
    <col min="3" max="10" width="14" customWidth="1"/>
  </cols>
  <sheetData>
    <row r="2" spans="2:10">
      <c r="B2" s="53" t="s">
        <v>0</v>
      </c>
      <c r="C2" s="53"/>
      <c r="D2" s="53"/>
      <c r="E2" s="53"/>
      <c r="F2" s="53"/>
      <c r="G2" s="53"/>
      <c r="H2" s="53"/>
      <c r="I2" s="53"/>
      <c r="J2" s="53"/>
    </row>
    <row r="3" spans="2:10">
      <c r="B3" s="53"/>
      <c r="C3" s="53"/>
      <c r="D3" s="53"/>
      <c r="E3" s="53"/>
      <c r="F3" s="53"/>
      <c r="G3" s="53"/>
      <c r="H3" s="53"/>
      <c r="I3" s="53"/>
      <c r="J3" s="53"/>
    </row>
    <row r="4" spans="2:10" ht="19">
      <c r="B4" s="54" t="s">
        <v>1</v>
      </c>
      <c r="C4" s="54"/>
      <c r="D4" s="54"/>
      <c r="E4" s="54"/>
      <c r="F4" s="54"/>
      <c r="G4" s="54"/>
      <c r="H4" s="54"/>
      <c r="I4" s="54"/>
      <c r="J4" s="54"/>
    </row>
    <row r="5" spans="2:10">
      <c r="B5" s="1"/>
      <c r="C5" s="1"/>
      <c r="D5" s="1"/>
      <c r="E5" s="1"/>
      <c r="F5" s="1"/>
      <c r="G5" s="1"/>
      <c r="H5" s="1"/>
      <c r="I5" s="1"/>
      <c r="J5" s="1"/>
    </row>
    <row r="6" spans="2:10">
      <c r="B6" s="1"/>
      <c r="C6" s="1"/>
      <c r="D6" s="1"/>
      <c r="E6" s="1"/>
      <c r="F6" s="1"/>
      <c r="G6" s="1"/>
      <c r="H6" s="1"/>
      <c r="I6" s="1"/>
      <c r="J6" s="1"/>
    </row>
    <row r="7" spans="2:10" ht="106">
      <c r="B7" s="2" t="s">
        <v>2</v>
      </c>
      <c r="C7" s="3" t="s">
        <v>3</v>
      </c>
      <c r="D7" s="1"/>
      <c r="E7" s="1"/>
      <c r="F7" s="1"/>
      <c r="G7" s="1"/>
      <c r="H7" s="1"/>
      <c r="I7" s="1"/>
      <c r="J7" s="1"/>
    </row>
    <row r="8" spans="2:10" ht="16">
      <c r="B8" s="2" t="s">
        <v>4</v>
      </c>
      <c r="C8" s="3" t="s">
        <v>195</v>
      </c>
      <c r="D8" s="1"/>
      <c r="E8" s="1"/>
      <c r="F8" s="1"/>
      <c r="G8" s="1"/>
      <c r="H8" s="1"/>
      <c r="I8" s="1"/>
      <c r="J8" s="1"/>
    </row>
    <row r="9" spans="2:10" ht="16">
      <c r="B9" s="2" t="s">
        <v>5</v>
      </c>
      <c r="C9" s="3" t="s">
        <v>6</v>
      </c>
      <c r="D9" s="1"/>
      <c r="E9" s="1"/>
      <c r="F9" s="1"/>
      <c r="G9" s="1"/>
      <c r="H9" s="1"/>
      <c r="I9" s="1"/>
      <c r="J9" s="1"/>
    </row>
    <row r="10" spans="2:10" ht="16">
      <c r="B10" s="2" t="s">
        <v>7</v>
      </c>
      <c r="C10" s="3" t="s">
        <v>8</v>
      </c>
      <c r="D10" s="1"/>
      <c r="E10" s="1"/>
      <c r="F10" s="1"/>
      <c r="G10" s="1"/>
      <c r="H10" s="1"/>
      <c r="I10" s="1"/>
      <c r="J10" s="1"/>
    </row>
    <row r="11" spans="2:10" ht="46">
      <c r="B11" s="2" t="s">
        <v>9</v>
      </c>
      <c r="C11" s="3" t="s">
        <v>10</v>
      </c>
      <c r="D11" s="1"/>
      <c r="E11" s="1"/>
      <c r="F11" s="1"/>
      <c r="G11" s="1"/>
      <c r="H11" s="1"/>
      <c r="I11" s="1"/>
      <c r="J11" s="1"/>
    </row>
    <row r="12" spans="2:10" ht="16">
      <c r="B12" s="2" t="s">
        <v>11</v>
      </c>
      <c r="C12" s="3" t="s">
        <v>12</v>
      </c>
      <c r="D12" s="1"/>
      <c r="E12" s="1"/>
      <c r="F12" s="1"/>
      <c r="G12" s="1"/>
      <c r="H12" s="1"/>
      <c r="I12" s="1"/>
      <c r="J12" s="1"/>
    </row>
    <row r="13" spans="2:10" ht="166">
      <c r="B13" s="2" t="s">
        <v>13</v>
      </c>
      <c r="C13" s="3" t="s">
        <v>14</v>
      </c>
      <c r="D13" s="1"/>
      <c r="E13" s="1"/>
      <c r="F13" s="1"/>
      <c r="G13" s="1"/>
      <c r="H13" s="1"/>
      <c r="I13" s="1"/>
      <c r="J13" s="1"/>
    </row>
    <row r="14" spans="2:10" ht="46">
      <c r="B14" s="2" t="s">
        <v>15</v>
      </c>
      <c r="C14" s="3" t="s">
        <v>16</v>
      </c>
      <c r="D14" s="1"/>
      <c r="E14" s="1"/>
      <c r="F14" s="1"/>
      <c r="G14" s="1"/>
      <c r="H14" s="1"/>
      <c r="I14" s="1"/>
      <c r="J14" s="1"/>
    </row>
  </sheetData>
  <mergeCells count="2">
    <mergeCell ref="B2:J3"/>
    <mergeCell ref="B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"/>
  <sheetViews>
    <sheetView showGridLines="0" workbookViewId="0">
      <selection sqref="A1:K1"/>
    </sheetView>
  </sheetViews>
  <sheetFormatPr baseColWidth="10" defaultColWidth="8.83203125" defaultRowHeight="15"/>
  <cols>
    <col min="1" max="1" width="38" customWidth="1"/>
    <col min="2" max="11" width="13" customWidth="1"/>
  </cols>
  <sheetData>
    <row r="1" spans="1:11" ht="26" customHeight="1">
      <c r="A1" s="59" t="s">
        <v>17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18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5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0" customHeight="1">
      <c r="A6" s="56" t="s">
        <v>29</v>
      </c>
      <c r="B6" s="56" t="s">
        <v>29</v>
      </c>
      <c r="C6" s="56" t="s">
        <v>29</v>
      </c>
      <c r="D6" s="56" t="s">
        <v>29</v>
      </c>
      <c r="E6" s="56" t="s">
        <v>29</v>
      </c>
      <c r="F6" s="56" t="s">
        <v>29</v>
      </c>
      <c r="G6" s="56" t="s">
        <v>29</v>
      </c>
      <c r="H6" s="56" t="s">
        <v>29</v>
      </c>
      <c r="I6" s="56" t="s">
        <v>29</v>
      </c>
      <c r="J6" s="56" t="s">
        <v>29</v>
      </c>
      <c r="K6" s="56" t="s">
        <v>29</v>
      </c>
    </row>
    <row r="7" spans="1:11">
      <c r="A7" s="1" t="s">
        <v>30</v>
      </c>
      <c r="B7" s="1"/>
      <c r="C7" s="1"/>
      <c r="D7" s="1"/>
      <c r="E7" s="1"/>
      <c r="F7" s="1"/>
      <c r="G7" s="7">
        <v>0.01</v>
      </c>
      <c r="H7" s="7">
        <v>0.02</v>
      </c>
      <c r="I7" s="7">
        <v>2.5000000000000001E-2</v>
      </c>
      <c r="J7" s="7">
        <v>0.03</v>
      </c>
      <c r="K7" s="7">
        <v>0.03</v>
      </c>
    </row>
    <row r="8" spans="1:11">
      <c r="A8" s="1" t="s">
        <v>31</v>
      </c>
      <c r="B8" s="1"/>
      <c r="C8" s="1"/>
      <c r="D8" s="1"/>
      <c r="E8" s="1"/>
      <c r="F8" s="1"/>
      <c r="G8" s="7">
        <v>0.27900000000000003</v>
      </c>
      <c r="H8" s="7">
        <v>0.27900000000000003</v>
      </c>
      <c r="I8" s="7">
        <v>0.28000000000000003</v>
      </c>
      <c r="J8" s="7">
        <v>0.28000000000000003</v>
      </c>
      <c r="K8" s="7">
        <v>0.28000000000000003</v>
      </c>
    </row>
    <row r="9" spans="1:11">
      <c r="A9" s="1" t="s">
        <v>32</v>
      </c>
      <c r="B9" s="1"/>
      <c r="C9" s="1"/>
      <c r="D9" s="1"/>
      <c r="E9" s="1"/>
      <c r="F9" s="1"/>
      <c r="G9" s="7">
        <v>0.20499999999999999</v>
      </c>
      <c r="H9" s="7">
        <v>0.20399999999999999</v>
      </c>
      <c r="I9" s="7">
        <v>0.20300000000000001</v>
      </c>
      <c r="J9" s="7">
        <v>0.20200000000000001</v>
      </c>
      <c r="K9" s="7">
        <v>0.20100000000000001</v>
      </c>
    </row>
    <row r="10" spans="1:11">
      <c r="A10" s="1" t="s">
        <v>33</v>
      </c>
      <c r="B10" s="1"/>
      <c r="C10" s="1"/>
      <c r="D10" s="1"/>
      <c r="E10" s="1"/>
      <c r="F10" s="1"/>
      <c r="G10" s="7">
        <v>2.5000000000000001E-2</v>
      </c>
      <c r="H10" s="7">
        <v>2.5000000000000001E-2</v>
      </c>
      <c r="I10" s="7">
        <v>2.5000000000000001E-2</v>
      </c>
      <c r="J10" s="7">
        <v>2.5000000000000001E-2</v>
      </c>
      <c r="K10" s="7">
        <v>2.5000000000000001E-2</v>
      </c>
    </row>
    <row r="11" spans="1:11">
      <c r="A11" s="1" t="s">
        <v>34</v>
      </c>
      <c r="B11" s="1"/>
      <c r="C11" s="1"/>
      <c r="D11" s="1"/>
      <c r="E11" s="1"/>
      <c r="F11" s="1"/>
      <c r="G11" s="7">
        <v>3.5000000000000003E-2</v>
      </c>
      <c r="H11" s="7">
        <v>3.5000000000000003E-2</v>
      </c>
      <c r="I11" s="7">
        <v>3.5000000000000003E-2</v>
      </c>
      <c r="J11" s="7">
        <v>3.5000000000000003E-2</v>
      </c>
      <c r="K11" s="7">
        <v>3.5000000000000003E-2</v>
      </c>
    </row>
    <row r="12" spans="1:11">
      <c r="A12" s="1" t="s">
        <v>35</v>
      </c>
      <c r="B12" s="1"/>
      <c r="C12" s="1"/>
      <c r="D12" s="1"/>
      <c r="E12" s="1"/>
      <c r="F12" s="1"/>
      <c r="G12" s="7">
        <v>0.223</v>
      </c>
      <c r="H12" s="7">
        <v>0.223</v>
      </c>
      <c r="I12" s="7">
        <v>0.223</v>
      </c>
      <c r="J12" s="7">
        <v>0.223</v>
      </c>
      <c r="K12" s="7">
        <v>0.223</v>
      </c>
    </row>
    <row r="13" spans="1:1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20" customHeight="1">
      <c r="A14" s="56" t="s">
        <v>36</v>
      </c>
      <c r="B14" s="56" t="s">
        <v>36</v>
      </c>
      <c r="C14" s="56" t="s">
        <v>36</v>
      </c>
      <c r="D14" s="56" t="s">
        <v>36</v>
      </c>
      <c r="E14" s="56" t="s">
        <v>36</v>
      </c>
      <c r="F14" s="56" t="s">
        <v>36</v>
      </c>
      <c r="G14" s="56" t="s">
        <v>36</v>
      </c>
      <c r="H14" s="56" t="s">
        <v>36</v>
      </c>
      <c r="I14" s="56" t="s">
        <v>36</v>
      </c>
      <c r="J14" s="56" t="s">
        <v>36</v>
      </c>
      <c r="K14" s="56" t="s">
        <v>36</v>
      </c>
    </row>
    <row r="15" spans="1:11">
      <c r="A15" s="1" t="s">
        <v>37</v>
      </c>
      <c r="B15" s="1"/>
      <c r="C15" s="1"/>
      <c r="D15" s="1"/>
      <c r="E15" s="1"/>
      <c r="F15" s="1"/>
      <c r="G15" s="7">
        <v>0.16300000000000001</v>
      </c>
      <c r="H15" s="7">
        <v>0.16300000000000001</v>
      </c>
      <c r="I15" s="7">
        <v>0.16300000000000001</v>
      </c>
      <c r="J15" s="7">
        <v>0.16300000000000001</v>
      </c>
      <c r="K15" s="7">
        <v>0.16300000000000001</v>
      </c>
    </row>
    <row r="16" spans="1:11">
      <c r="A16" s="1" t="s">
        <v>38</v>
      </c>
      <c r="B16" s="1"/>
      <c r="C16" s="1"/>
      <c r="D16" s="1"/>
      <c r="E16" s="1"/>
      <c r="F16" s="1"/>
      <c r="G16" s="7">
        <v>0.16700000000000001</v>
      </c>
      <c r="H16" s="7">
        <v>0.16700000000000001</v>
      </c>
      <c r="I16" s="7">
        <v>0.16700000000000001</v>
      </c>
      <c r="J16" s="7">
        <v>0.16700000000000001</v>
      </c>
      <c r="K16" s="7">
        <v>0.16700000000000001</v>
      </c>
    </row>
    <row r="17" spans="1:11">
      <c r="A17" s="1" t="s">
        <v>39</v>
      </c>
      <c r="B17" s="1"/>
      <c r="C17" s="1"/>
      <c r="D17" s="1"/>
      <c r="E17" s="1"/>
      <c r="F17" s="1"/>
      <c r="G17" s="7">
        <v>2.1100000000000001E-2</v>
      </c>
      <c r="H17" s="7">
        <v>2.1100000000000001E-2</v>
      </c>
      <c r="I17" s="7">
        <v>2.1100000000000001E-2</v>
      </c>
      <c r="J17" s="7">
        <v>2.1100000000000001E-2</v>
      </c>
      <c r="K17" s="7">
        <v>2.1100000000000001E-2</v>
      </c>
    </row>
    <row r="18" spans="1:11">
      <c r="A18" s="1" t="s">
        <v>40</v>
      </c>
      <c r="B18" s="1"/>
      <c r="C18" s="1"/>
      <c r="D18" s="1"/>
      <c r="E18" s="1"/>
      <c r="F18" s="1"/>
      <c r="G18" s="7">
        <v>6.1800000000000001E-2</v>
      </c>
      <c r="H18" s="7">
        <v>6.1800000000000001E-2</v>
      </c>
      <c r="I18" s="7">
        <v>6.1800000000000001E-2</v>
      </c>
      <c r="J18" s="7">
        <v>6.1800000000000001E-2</v>
      </c>
      <c r="K18" s="7">
        <v>6.1800000000000001E-2</v>
      </c>
    </row>
    <row r="19" spans="1:11">
      <c r="A19" s="1" t="s">
        <v>41</v>
      </c>
      <c r="B19" s="1"/>
      <c r="C19" s="1"/>
      <c r="D19" s="1"/>
      <c r="E19" s="1"/>
      <c r="F19" s="1"/>
      <c r="G19" s="7">
        <v>1.9400000000000001E-2</v>
      </c>
      <c r="H19" s="7">
        <v>1.9400000000000001E-2</v>
      </c>
      <c r="I19" s="7">
        <v>1.9400000000000001E-2</v>
      </c>
      <c r="J19" s="7">
        <v>1.9400000000000001E-2</v>
      </c>
      <c r="K19" s="7">
        <v>1.9400000000000001E-2</v>
      </c>
    </row>
    <row r="20" spans="1:11">
      <c r="A20" s="1" t="s">
        <v>42</v>
      </c>
      <c r="B20" s="1"/>
      <c r="C20" s="1"/>
      <c r="D20" s="1"/>
      <c r="E20" s="1"/>
      <c r="F20" s="1"/>
      <c r="G20" s="7">
        <v>2.7000000000000001E-3</v>
      </c>
      <c r="H20" s="7">
        <v>2.7000000000000001E-3</v>
      </c>
      <c r="I20" s="7">
        <v>2.7000000000000001E-3</v>
      </c>
      <c r="J20" s="7">
        <v>2.7000000000000001E-3</v>
      </c>
      <c r="K20" s="7">
        <v>2.7000000000000001E-3</v>
      </c>
    </row>
    <row r="21" spans="1:11">
      <c r="A21" s="1" t="s">
        <v>43</v>
      </c>
      <c r="B21" s="1"/>
      <c r="C21" s="1"/>
      <c r="D21" s="1"/>
      <c r="E21" s="1"/>
      <c r="F21" s="1"/>
      <c r="G21" s="7">
        <v>0.55400000000000005</v>
      </c>
      <c r="H21" s="7">
        <v>0.55400000000000005</v>
      </c>
      <c r="I21" s="7">
        <v>0.55400000000000005</v>
      </c>
      <c r="J21" s="7">
        <v>0.55400000000000005</v>
      </c>
      <c r="K21" s="7">
        <v>0.55400000000000005</v>
      </c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0" customHeight="1">
      <c r="A23" s="56" t="s">
        <v>44</v>
      </c>
      <c r="B23" s="56" t="s">
        <v>44</v>
      </c>
      <c r="C23" s="56" t="s">
        <v>44</v>
      </c>
      <c r="D23" s="56" t="s">
        <v>44</v>
      </c>
      <c r="E23" s="56" t="s">
        <v>44</v>
      </c>
      <c r="F23" s="56" t="s">
        <v>44</v>
      </c>
      <c r="G23" s="56" t="s">
        <v>44</v>
      </c>
      <c r="H23" s="56" t="s">
        <v>44</v>
      </c>
      <c r="I23" s="56" t="s">
        <v>44</v>
      </c>
      <c r="J23" s="56" t="s">
        <v>44</v>
      </c>
      <c r="K23" s="56" t="s">
        <v>44</v>
      </c>
    </row>
    <row r="24" spans="1:11" ht="27">
      <c r="A24" s="1" t="s">
        <v>45</v>
      </c>
      <c r="B24" s="8">
        <v>130.21</v>
      </c>
      <c r="C24" s="9" t="s">
        <v>46</v>
      </c>
      <c r="D24" s="1"/>
      <c r="E24" s="1"/>
      <c r="F24" s="1"/>
      <c r="G24" s="1"/>
      <c r="H24" s="1"/>
      <c r="I24" s="1"/>
      <c r="J24" s="1"/>
      <c r="K24" s="1"/>
    </row>
    <row r="25" spans="1:11" ht="40">
      <c r="A25" s="1" t="s">
        <v>47</v>
      </c>
      <c r="B25" s="10">
        <v>454.19</v>
      </c>
      <c r="C25" s="9" t="s">
        <v>48</v>
      </c>
      <c r="D25" s="1"/>
      <c r="E25" s="1"/>
      <c r="F25" s="1"/>
      <c r="G25" s="1"/>
      <c r="H25" s="1"/>
      <c r="I25" s="1"/>
      <c r="J25" s="1"/>
      <c r="K25" s="1"/>
    </row>
    <row r="26" spans="1:11" ht="53">
      <c r="A26" s="1" t="s">
        <v>49</v>
      </c>
      <c r="B26" s="11">
        <v>4.48E-2</v>
      </c>
      <c r="C26" s="9" t="s">
        <v>50</v>
      </c>
      <c r="D26" s="1"/>
      <c r="E26" s="1"/>
      <c r="F26" s="1"/>
      <c r="G26" s="1"/>
      <c r="H26" s="1"/>
      <c r="I26" s="1"/>
      <c r="J26" s="1"/>
      <c r="K26" s="1"/>
    </row>
    <row r="27" spans="1:11" ht="40">
      <c r="A27" s="1" t="s">
        <v>51</v>
      </c>
      <c r="B27" s="10">
        <v>0.99</v>
      </c>
      <c r="C27" s="9" t="s">
        <v>52</v>
      </c>
      <c r="D27" s="1"/>
      <c r="E27" s="1"/>
      <c r="F27" s="1"/>
      <c r="G27" s="1"/>
      <c r="H27" s="1"/>
      <c r="I27" s="1"/>
      <c r="J27" s="1"/>
      <c r="K27" s="1"/>
    </row>
    <row r="28" spans="1:11" ht="40">
      <c r="A28" s="1" t="s">
        <v>53</v>
      </c>
      <c r="B28" s="11">
        <v>0.05</v>
      </c>
      <c r="C28" s="9" t="s">
        <v>54</v>
      </c>
      <c r="D28" s="1"/>
      <c r="E28" s="1"/>
      <c r="F28" s="1"/>
      <c r="G28" s="1"/>
      <c r="H28" s="1"/>
      <c r="I28" s="1"/>
      <c r="J28" s="1"/>
      <c r="K28" s="1"/>
    </row>
    <row r="29" spans="1:11" ht="79">
      <c r="A29" s="1" t="s">
        <v>55</v>
      </c>
      <c r="B29" s="11">
        <v>5.2999999999999999E-2</v>
      </c>
      <c r="C29" s="9" t="s">
        <v>56</v>
      </c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20" customHeight="1">
      <c r="A31" s="56" t="s">
        <v>57</v>
      </c>
      <c r="B31" s="56" t="s">
        <v>57</v>
      </c>
      <c r="C31" s="56" t="s">
        <v>57</v>
      </c>
      <c r="D31" s="56" t="s">
        <v>57</v>
      </c>
      <c r="E31" s="56" t="s">
        <v>57</v>
      </c>
      <c r="F31" s="56" t="s">
        <v>57</v>
      </c>
      <c r="G31" s="56" t="s">
        <v>57</v>
      </c>
      <c r="H31" s="56" t="s">
        <v>57</v>
      </c>
      <c r="I31" s="56" t="s">
        <v>57</v>
      </c>
      <c r="J31" s="56" t="s">
        <v>57</v>
      </c>
      <c r="K31" s="56" t="s">
        <v>57</v>
      </c>
    </row>
    <row r="32" spans="1:11">
      <c r="A32" s="1" t="s">
        <v>58</v>
      </c>
      <c r="B32" s="12">
        <v>0.02</v>
      </c>
      <c r="C32" s="1" t="s">
        <v>59</v>
      </c>
      <c r="D32" s="1"/>
      <c r="E32" s="1"/>
      <c r="F32" s="1"/>
      <c r="G32" s="1"/>
      <c r="H32" s="1"/>
      <c r="I32" s="1"/>
      <c r="J32" s="1"/>
      <c r="K32" s="1"/>
    </row>
    <row r="33" spans="1:11">
      <c r="A33" s="1" t="s">
        <v>60</v>
      </c>
      <c r="B33" s="13">
        <v>8</v>
      </c>
      <c r="C33" s="1" t="s">
        <v>61</v>
      </c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0" customHeight="1">
      <c r="A35" s="56" t="s">
        <v>62</v>
      </c>
      <c r="B35" s="56" t="s">
        <v>62</v>
      </c>
      <c r="C35" s="56" t="s">
        <v>62</v>
      </c>
      <c r="D35" s="56" t="s">
        <v>62</v>
      </c>
      <c r="E35" s="56" t="s">
        <v>62</v>
      </c>
      <c r="F35" s="56" t="s">
        <v>62</v>
      </c>
      <c r="G35" s="56" t="s">
        <v>62</v>
      </c>
      <c r="H35" s="56" t="s">
        <v>62</v>
      </c>
      <c r="I35" s="56" t="s">
        <v>62</v>
      </c>
      <c r="J35" s="56" t="s">
        <v>62</v>
      </c>
      <c r="K35" s="56" t="s">
        <v>62</v>
      </c>
    </row>
    <row r="36" spans="1:11">
      <c r="A36" s="57" t="s">
        <v>63</v>
      </c>
      <c r="B36" s="57"/>
      <c r="C36" s="57"/>
      <c r="D36" s="57"/>
      <c r="E36" s="57"/>
      <c r="F36" s="57"/>
      <c r="G36" s="57"/>
      <c r="H36" s="57"/>
      <c r="I36" s="57"/>
      <c r="J36" s="57"/>
      <c r="K36" s="57"/>
    </row>
    <row r="37" spans="1:1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</row>
    <row r="38" spans="1:1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</row>
  </sheetData>
  <mergeCells count="8">
    <mergeCell ref="A31:K31"/>
    <mergeCell ref="A35:K35"/>
    <mergeCell ref="A36:K38"/>
    <mergeCell ref="A1:K1"/>
    <mergeCell ref="A2:K2"/>
    <mergeCell ref="A6:K6"/>
    <mergeCell ref="A14:K14"/>
    <mergeCell ref="A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workbookViewId="0">
      <selection sqref="A1:K1"/>
    </sheetView>
  </sheetViews>
  <sheetFormatPr baseColWidth="10" defaultColWidth="8.83203125" defaultRowHeight="15"/>
  <cols>
    <col min="1" max="1" width="34" customWidth="1"/>
    <col min="2" max="11" width="13" customWidth="1"/>
  </cols>
  <sheetData>
    <row r="1" spans="1:11" ht="26" customHeight="1">
      <c r="A1" s="59" t="s">
        <v>64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5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66</v>
      </c>
      <c r="B6" s="14">
        <v>106005</v>
      </c>
      <c r="C6" s="14">
        <v>109120</v>
      </c>
      <c r="D6" s="14">
        <v>107412</v>
      </c>
      <c r="E6" s="14">
        <v>106566</v>
      </c>
      <c r="F6" s="14">
        <v>104780</v>
      </c>
      <c r="G6" s="15">
        <f>F6*(1+Assumptions!G7)</f>
        <v>105827.8</v>
      </c>
      <c r="H6" s="15">
        <f>G6*(1+Assumptions!H7)</f>
        <v>107944.356</v>
      </c>
      <c r="I6" s="15">
        <f>H6*(1+Assumptions!I7)</f>
        <v>110642.96489999999</v>
      </c>
      <c r="J6" s="15">
        <f>I6*(1+Assumptions!J7)</f>
        <v>113962.253847</v>
      </c>
      <c r="K6" s="15">
        <f>J6*(1+Assumptions!K7)</f>
        <v>117381.12146241</v>
      </c>
    </row>
    <row r="7" spans="1:11">
      <c r="A7" s="1" t="s">
        <v>30</v>
      </c>
      <c r="B7" s="16"/>
      <c r="C7" s="16">
        <f t="shared" ref="C7:K7" si="0">C6/B6-1</f>
        <v>2.9385406348757082E-2</v>
      </c>
      <c r="D7" s="16">
        <f t="shared" si="0"/>
        <v>-1.5652492668621676E-2</v>
      </c>
      <c r="E7" s="16">
        <f t="shared" si="0"/>
        <v>-7.876214948050464E-3</v>
      </c>
      <c r="F7" s="16">
        <f t="shared" si="0"/>
        <v>-1.6759566841206386E-2</v>
      </c>
      <c r="G7" s="17">
        <f t="shared" si="0"/>
        <v>1.0000000000000009E-2</v>
      </c>
      <c r="H7" s="17">
        <f t="shared" si="0"/>
        <v>2.0000000000000018E-2</v>
      </c>
      <c r="I7" s="17">
        <f t="shared" si="0"/>
        <v>2.4999999999999911E-2</v>
      </c>
      <c r="J7" s="17">
        <f t="shared" si="0"/>
        <v>3.0000000000000027E-2</v>
      </c>
      <c r="K7" s="17">
        <f t="shared" si="0"/>
        <v>3.0000000000000027E-2</v>
      </c>
    </row>
    <row r="8" spans="1:11">
      <c r="A8" s="1" t="s">
        <v>67</v>
      </c>
      <c r="B8" s="14">
        <v>74963</v>
      </c>
      <c r="C8" s="14">
        <v>82229</v>
      </c>
      <c r="D8" s="14">
        <v>77828</v>
      </c>
      <c r="E8" s="14">
        <v>76502</v>
      </c>
      <c r="F8" s="14">
        <v>75511</v>
      </c>
      <c r="G8" s="15">
        <f>G6*(1-Assumptions!G8)</f>
        <v>76301.843800000002</v>
      </c>
      <c r="H8" s="15">
        <f>H6*(1-Assumptions!H8)</f>
        <v>77827.880676000001</v>
      </c>
      <c r="I8" s="15">
        <f>I6*(1-Assumptions!I8)</f>
        <v>79662.934727999993</v>
      </c>
      <c r="J8" s="15">
        <f>J6*(1-Assumptions!J8)</f>
        <v>82052.822769840001</v>
      </c>
      <c r="K8" s="15">
        <f>K6*(1-Assumptions!K8)</f>
        <v>84514.407452935193</v>
      </c>
    </row>
    <row r="9" spans="1:11">
      <c r="A9" s="18" t="s">
        <v>68</v>
      </c>
      <c r="B9" s="19"/>
      <c r="C9" s="19">
        <f t="shared" ref="C9:K9" si="1">C6-C8</f>
        <v>26891</v>
      </c>
      <c r="D9" s="19">
        <f t="shared" si="1"/>
        <v>29584</v>
      </c>
      <c r="E9" s="19">
        <f t="shared" si="1"/>
        <v>30064</v>
      </c>
      <c r="F9" s="19">
        <f t="shared" si="1"/>
        <v>29269</v>
      </c>
      <c r="G9" s="20">
        <f t="shared" si="1"/>
        <v>29525.956200000001</v>
      </c>
      <c r="H9" s="20">
        <f t="shared" si="1"/>
        <v>30116.475323999999</v>
      </c>
      <c r="I9" s="20">
        <f t="shared" si="1"/>
        <v>30980.030171999999</v>
      </c>
      <c r="J9" s="20">
        <f t="shared" si="1"/>
        <v>31909.431077159999</v>
      </c>
      <c r="K9" s="20">
        <f t="shared" si="1"/>
        <v>32866.714009474803</v>
      </c>
    </row>
    <row r="10" spans="1:11">
      <c r="A10" s="1" t="s">
        <v>31</v>
      </c>
      <c r="B10" s="16"/>
      <c r="C10" s="16">
        <f t="shared" ref="C10:K10" si="2">C9/C6</f>
        <v>0.24643511730205278</v>
      </c>
      <c r="D10" s="16">
        <f t="shared" si="2"/>
        <v>0.2754254645663427</v>
      </c>
      <c r="E10" s="16">
        <f t="shared" si="2"/>
        <v>0.28211624720830286</v>
      </c>
      <c r="F10" s="16">
        <f t="shared" si="2"/>
        <v>0.2793376598587517</v>
      </c>
      <c r="G10" s="17">
        <f t="shared" si="2"/>
        <v>0.27899999999999997</v>
      </c>
      <c r="H10" s="17">
        <f t="shared" si="2"/>
        <v>0.27899999999999997</v>
      </c>
      <c r="I10" s="17">
        <f t="shared" si="2"/>
        <v>0.28000000000000003</v>
      </c>
      <c r="J10" s="17">
        <f t="shared" si="2"/>
        <v>0.27999999999999997</v>
      </c>
      <c r="K10" s="17">
        <f t="shared" si="2"/>
        <v>0.28000000000000003</v>
      </c>
    </row>
    <row r="11" spans="1:11">
      <c r="A11" s="1" t="s">
        <v>69</v>
      </c>
      <c r="B11" s="14">
        <v>19752</v>
      </c>
      <c r="C11" s="14">
        <v>20658</v>
      </c>
      <c r="D11" s="14">
        <v>21462</v>
      </c>
      <c r="E11" s="14">
        <v>21969</v>
      </c>
      <c r="F11" s="14">
        <v>21535</v>
      </c>
      <c r="G11" s="15">
        <f>G6*Assumptions!G9</f>
        <v>21694.699000000001</v>
      </c>
      <c r="H11" s="15">
        <f>H6*Assumptions!H9</f>
        <v>22020.648623999998</v>
      </c>
      <c r="I11" s="15">
        <f>I6*Assumptions!I9</f>
        <v>22460.5218747</v>
      </c>
      <c r="J11" s="15">
        <f>J6*Assumptions!J9</f>
        <v>23020.375277094001</v>
      </c>
      <c r="K11" s="15">
        <f>K6*Assumptions!K9</f>
        <v>23593.60541394441</v>
      </c>
    </row>
    <row r="12" spans="1:11">
      <c r="A12" s="1" t="s">
        <v>70</v>
      </c>
      <c r="B12" s="14">
        <v>2344</v>
      </c>
      <c r="C12" s="14">
        <v>2385</v>
      </c>
      <c r="D12" s="14">
        <v>2415</v>
      </c>
      <c r="E12" s="14">
        <v>2529</v>
      </c>
      <c r="F12" s="14">
        <v>2617</v>
      </c>
      <c r="G12" s="15">
        <f>G6*Assumptions!G10</f>
        <v>2645.6950000000002</v>
      </c>
      <c r="H12" s="15">
        <f>H6*Assumptions!H10</f>
        <v>2698.6089000000002</v>
      </c>
      <c r="I12" s="15">
        <f>I6*Assumptions!I10</f>
        <v>2766.0741225000002</v>
      </c>
      <c r="J12" s="15">
        <f>J6*Assumptions!J10</f>
        <v>2849.0563461750003</v>
      </c>
      <c r="K12" s="15">
        <f>K6*Assumptions!K10</f>
        <v>2934.5280365602503</v>
      </c>
    </row>
    <row r="13" spans="1:11">
      <c r="A13" s="18" t="s">
        <v>71</v>
      </c>
      <c r="B13" s="19"/>
      <c r="C13" s="19">
        <f t="shared" ref="C13:K13" si="3">SUM(C11:C12)</f>
        <v>23043</v>
      </c>
      <c r="D13" s="19">
        <f t="shared" si="3"/>
        <v>23877</v>
      </c>
      <c r="E13" s="19">
        <f t="shared" si="3"/>
        <v>24498</v>
      </c>
      <c r="F13" s="19">
        <f t="shared" si="3"/>
        <v>24152</v>
      </c>
      <c r="G13" s="20">
        <f t="shared" si="3"/>
        <v>24340.394</v>
      </c>
      <c r="H13" s="20">
        <f t="shared" si="3"/>
        <v>24719.257523999997</v>
      </c>
      <c r="I13" s="20">
        <f t="shared" si="3"/>
        <v>25226.595997199998</v>
      </c>
      <c r="J13" s="20">
        <f t="shared" si="3"/>
        <v>25869.431623269</v>
      </c>
      <c r="K13" s="20">
        <f t="shared" si="3"/>
        <v>26528.133450504662</v>
      </c>
    </row>
    <row r="14" spans="1:11">
      <c r="A14" s="18" t="s">
        <v>72</v>
      </c>
      <c r="B14" s="19">
        <v>8946</v>
      </c>
      <c r="C14" s="19">
        <v>3848</v>
      </c>
      <c r="D14" s="19">
        <v>5707</v>
      </c>
      <c r="E14" s="19">
        <v>5566</v>
      </c>
      <c r="F14" s="19">
        <v>5117</v>
      </c>
      <c r="G14" s="20">
        <f>G9-G13</f>
        <v>5185.5622000000003</v>
      </c>
      <c r="H14" s="20">
        <f>H9-H13</f>
        <v>5397.2178000000022</v>
      </c>
      <c r="I14" s="20">
        <f>I9-I13</f>
        <v>5753.4341748000006</v>
      </c>
      <c r="J14" s="20">
        <f>J9-J13</f>
        <v>6039.9994538909996</v>
      </c>
      <c r="K14" s="20">
        <f>K9-K13</f>
        <v>6338.5805589701413</v>
      </c>
    </row>
    <row r="15" spans="1:11">
      <c r="A15" s="1" t="s">
        <v>73</v>
      </c>
      <c r="B15" s="16"/>
      <c r="C15" s="16">
        <f t="shared" ref="C15:K15" si="4">C14/C6</f>
        <v>3.5263929618768328E-2</v>
      </c>
      <c r="D15" s="16">
        <f t="shared" si="4"/>
        <v>5.3131866085725989E-2</v>
      </c>
      <c r="E15" s="16">
        <f t="shared" si="4"/>
        <v>5.2230542574554735E-2</v>
      </c>
      <c r="F15" s="16">
        <f t="shared" si="4"/>
        <v>4.8835655659476999E-2</v>
      </c>
      <c r="G15" s="17">
        <f t="shared" si="4"/>
        <v>4.9000000000000002E-2</v>
      </c>
      <c r="H15" s="17">
        <f t="shared" si="4"/>
        <v>5.0000000000000024E-2</v>
      </c>
      <c r="I15" s="17">
        <f t="shared" si="4"/>
        <v>5.2000000000000011E-2</v>
      </c>
      <c r="J15" s="17">
        <f t="shared" si="4"/>
        <v>5.2999999999999999E-2</v>
      </c>
      <c r="K15" s="17">
        <f t="shared" si="4"/>
        <v>5.4000000000000013E-2</v>
      </c>
    </row>
    <row r="16" spans="1:11">
      <c r="A16" s="1" t="s">
        <v>74</v>
      </c>
      <c r="B16" s="14">
        <v>421</v>
      </c>
      <c r="C16" s="14">
        <v>478</v>
      </c>
      <c r="D16" s="14">
        <v>502</v>
      </c>
      <c r="E16" s="14">
        <v>411</v>
      </c>
      <c r="F16" s="14">
        <v>445</v>
      </c>
      <c r="G16" s="21">
        <f>$F$16</f>
        <v>445</v>
      </c>
      <c r="H16" s="21">
        <f>$F$16</f>
        <v>445</v>
      </c>
      <c r="I16" s="21">
        <f>$F$16</f>
        <v>445</v>
      </c>
      <c r="J16" s="21">
        <f>$F$16</f>
        <v>445</v>
      </c>
      <c r="K16" s="21">
        <f>$F$16</f>
        <v>445</v>
      </c>
    </row>
    <row r="17" spans="1:11">
      <c r="A17" s="1" t="s">
        <v>75</v>
      </c>
      <c r="B17" s="14">
        <v>382</v>
      </c>
      <c r="C17" s="14">
        <v>48</v>
      </c>
      <c r="D17" s="14">
        <v>92</v>
      </c>
      <c r="E17" s="14">
        <v>106</v>
      </c>
      <c r="F17" s="14">
        <v>95</v>
      </c>
      <c r="G17" s="21">
        <f>$F$17</f>
        <v>95</v>
      </c>
      <c r="H17" s="21">
        <f>$F$17</f>
        <v>95</v>
      </c>
      <c r="I17" s="21">
        <f>$F$17</f>
        <v>95</v>
      </c>
      <c r="J17" s="21">
        <f>$F$17</f>
        <v>95</v>
      </c>
      <c r="K17" s="21">
        <f>$F$17</f>
        <v>95</v>
      </c>
    </row>
    <row r="18" spans="1:11">
      <c r="A18" s="18" t="s">
        <v>76</v>
      </c>
      <c r="B18" s="19">
        <v>8907</v>
      </c>
      <c r="C18" s="19">
        <v>3418</v>
      </c>
      <c r="D18" s="19">
        <v>5297</v>
      </c>
      <c r="E18" s="19">
        <v>5261</v>
      </c>
      <c r="F18" s="19">
        <v>4767</v>
      </c>
      <c r="G18" s="20">
        <f>G14-G16+G17</f>
        <v>4835.5622000000003</v>
      </c>
      <c r="H18" s="20">
        <f>H14-H16+H17</f>
        <v>5047.2178000000022</v>
      </c>
      <c r="I18" s="20">
        <f>I14-I16+I17</f>
        <v>5403.4341748000006</v>
      </c>
      <c r="J18" s="20">
        <f>J14-J16+J17</f>
        <v>5689.9994538909996</v>
      </c>
      <c r="K18" s="20">
        <f>K14-K16+K17</f>
        <v>5988.5805589701413</v>
      </c>
    </row>
    <row r="19" spans="1:11">
      <c r="A19" s="1" t="s">
        <v>77</v>
      </c>
      <c r="B19" s="14">
        <v>1961</v>
      </c>
      <c r="C19" s="14">
        <v>638</v>
      </c>
      <c r="D19" s="14">
        <v>1159</v>
      </c>
      <c r="E19" s="14">
        <v>1170</v>
      </c>
      <c r="F19" s="14">
        <v>1062</v>
      </c>
      <c r="G19" s="15">
        <f>G18*Assumptions!G12</f>
        <v>1078.3303706000002</v>
      </c>
      <c r="H19" s="15">
        <f>H18*Assumptions!H12</f>
        <v>1125.5295694000006</v>
      </c>
      <c r="I19" s="15">
        <f>I18*Assumptions!I12</f>
        <v>1204.9658209804002</v>
      </c>
      <c r="J19" s="15">
        <f>J18*Assumptions!J12</f>
        <v>1268.869878217693</v>
      </c>
      <c r="K19" s="15">
        <f>K18*Assumptions!K12</f>
        <v>1335.4534646503416</v>
      </c>
    </row>
    <row r="20" spans="1:11">
      <c r="A20" s="1" t="s">
        <v>35</v>
      </c>
      <c r="B20" s="16"/>
      <c r="C20" s="16">
        <f t="shared" ref="C20:K20" si="5">C19/C18</f>
        <v>0.18665886483323582</v>
      </c>
      <c r="D20" s="16">
        <f t="shared" si="5"/>
        <v>0.21880309609212761</v>
      </c>
      <c r="E20" s="16">
        <f t="shared" si="5"/>
        <v>0.22239118038395742</v>
      </c>
      <c r="F20" s="16">
        <f t="shared" si="5"/>
        <v>0.22278162366268092</v>
      </c>
      <c r="G20" s="17">
        <f t="shared" si="5"/>
        <v>0.223</v>
      </c>
      <c r="H20" s="17">
        <f t="shared" si="5"/>
        <v>0.22300000000000003</v>
      </c>
      <c r="I20" s="17">
        <f t="shared" si="5"/>
        <v>0.223</v>
      </c>
      <c r="J20" s="17">
        <f t="shared" si="5"/>
        <v>0.223</v>
      </c>
      <c r="K20" s="17">
        <f t="shared" si="5"/>
        <v>0.22300000000000003</v>
      </c>
    </row>
    <row r="21" spans="1:11">
      <c r="A21" s="18" t="s">
        <v>78</v>
      </c>
      <c r="B21" s="19">
        <v>6946</v>
      </c>
      <c r="C21" s="19">
        <v>2780</v>
      </c>
      <c r="D21" s="19">
        <v>4138</v>
      </c>
      <c r="E21" s="19">
        <v>4091</v>
      </c>
      <c r="F21" s="19">
        <v>3705</v>
      </c>
      <c r="G21" s="20">
        <f>G18-G19</f>
        <v>3757.2318294000002</v>
      </c>
      <c r="H21" s="20">
        <f>H18-H19</f>
        <v>3921.6882306000016</v>
      </c>
      <c r="I21" s="20">
        <f>I18-I19</f>
        <v>4198.4683538196005</v>
      </c>
      <c r="J21" s="20">
        <f>J18-J19</f>
        <v>4421.129575673307</v>
      </c>
      <c r="K21" s="20">
        <f>K18-K19</f>
        <v>4653.1270943197997</v>
      </c>
    </row>
    <row r="22" spans="1:11">
      <c r="A22" s="1" t="s">
        <v>79</v>
      </c>
      <c r="B22" s="16"/>
      <c r="C22" s="16">
        <f t="shared" ref="C22:K22" si="6">C21/C6</f>
        <v>2.5476539589442817E-2</v>
      </c>
      <c r="D22" s="16">
        <f t="shared" si="6"/>
        <v>3.8524559639518861E-2</v>
      </c>
      <c r="E22" s="16">
        <f t="shared" si="6"/>
        <v>3.8389354953737589E-2</v>
      </c>
      <c r="F22" s="16">
        <f t="shared" si="6"/>
        <v>3.5359801488833748E-2</v>
      </c>
      <c r="G22" s="17">
        <f t="shared" si="6"/>
        <v>3.5503259345842968E-2</v>
      </c>
      <c r="H22" s="17">
        <f t="shared" si="6"/>
        <v>3.6330646417493118E-2</v>
      </c>
      <c r="I22" s="17">
        <f t="shared" si="6"/>
        <v>3.7946094065846939E-2</v>
      </c>
      <c r="J22" s="17">
        <f t="shared" si="6"/>
        <v>3.8794683559074686E-2</v>
      </c>
      <c r="K22" s="17">
        <f t="shared" si="6"/>
        <v>3.9641187921431745E-2</v>
      </c>
    </row>
    <row r="23" spans="1:11">
      <c r="A23" s="1" t="s">
        <v>80</v>
      </c>
      <c r="B23" s="22">
        <v>488.1</v>
      </c>
      <c r="C23" s="22">
        <v>462.1</v>
      </c>
      <c r="D23" s="22">
        <v>461.5</v>
      </c>
      <c r="E23" s="22">
        <v>460.4</v>
      </c>
      <c r="F23" s="22">
        <v>454.1</v>
      </c>
      <c r="G23" s="23">
        <f>$F$23</f>
        <v>454.1</v>
      </c>
      <c r="H23" s="23">
        <f>$F$23</f>
        <v>454.1</v>
      </c>
      <c r="I23" s="23">
        <f>$F$23</f>
        <v>454.1</v>
      </c>
      <c r="J23" s="23">
        <f>$F$23</f>
        <v>454.1</v>
      </c>
      <c r="K23" s="23">
        <f>$F$23</f>
        <v>454.1</v>
      </c>
    </row>
    <row r="24" spans="1:11">
      <c r="A24" s="1" t="s">
        <v>81</v>
      </c>
      <c r="B24" s="22">
        <v>492.7</v>
      </c>
      <c r="C24" s="22">
        <v>464.7</v>
      </c>
      <c r="D24" s="22">
        <v>462.8</v>
      </c>
      <c r="E24" s="22">
        <v>461.8</v>
      </c>
      <c r="F24" s="22">
        <v>455.6</v>
      </c>
      <c r="G24" s="23">
        <f>$F$24</f>
        <v>455.6</v>
      </c>
      <c r="H24" s="23">
        <f>$F$24</f>
        <v>455.6</v>
      </c>
      <c r="I24" s="23">
        <f>$F$24</f>
        <v>455.6</v>
      </c>
      <c r="J24" s="23">
        <f>$F$24</f>
        <v>455.6</v>
      </c>
      <c r="K24" s="23">
        <f>$F$24</f>
        <v>455.6</v>
      </c>
    </row>
    <row r="25" spans="1:11">
      <c r="A25" s="1" t="s">
        <v>82</v>
      </c>
      <c r="B25" s="22">
        <v>14.23</v>
      </c>
      <c r="C25" s="22">
        <v>6.02</v>
      </c>
      <c r="D25" s="22">
        <v>8.9600000000000009</v>
      </c>
      <c r="E25" s="22">
        <v>8.89</v>
      </c>
      <c r="F25" s="22">
        <v>8.16</v>
      </c>
      <c r="G25" s="23">
        <f>G21/G23</f>
        <v>8.2740185628716141</v>
      </c>
      <c r="H25" s="23">
        <f>H21/H23</f>
        <v>8.6361775613301059</v>
      </c>
      <c r="I25" s="23">
        <f>I21/I23</f>
        <v>9.2456911557357415</v>
      </c>
      <c r="J25" s="23">
        <f>J21/J23</f>
        <v>9.7360263723261546</v>
      </c>
      <c r="K25" s="23">
        <f>K21/K23</f>
        <v>10.246921590662408</v>
      </c>
    </row>
    <row r="26" spans="1:11">
      <c r="A26" s="1" t="s">
        <v>83</v>
      </c>
      <c r="B26" s="22">
        <v>14.1</v>
      </c>
      <c r="C26" s="22">
        <v>5.98</v>
      </c>
      <c r="D26" s="22">
        <v>8.94</v>
      </c>
      <c r="E26" s="22">
        <v>8.86</v>
      </c>
      <c r="F26" s="22">
        <v>8.1300000000000008</v>
      </c>
      <c r="G26" s="23">
        <f>G21/G24</f>
        <v>8.2467775008779629</v>
      </c>
      <c r="H26" s="23">
        <f>H21/H24</f>
        <v>8.6077441409130842</v>
      </c>
      <c r="I26" s="23">
        <f>I21/I24</f>
        <v>9.2152509960921858</v>
      </c>
      <c r="J26" s="23">
        <f>J21/J24</f>
        <v>9.7039718517851341</v>
      </c>
      <c r="K26" s="23">
        <f>K21/K24</f>
        <v>10.213185018261193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"/>
  <sheetViews>
    <sheetView showGridLines="0" workbookViewId="0">
      <selection sqref="A1:K1"/>
    </sheetView>
  </sheetViews>
  <sheetFormatPr baseColWidth="10" defaultColWidth="8.83203125" defaultRowHeight="15"/>
  <cols>
    <col min="1" max="1" width="40" customWidth="1"/>
    <col min="2" max="11" width="13" customWidth="1"/>
  </cols>
  <sheetData>
    <row r="1" spans="1:11" ht="26" customHeight="1">
      <c r="A1" s="59" t="s">
        <v>84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5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85</v>
      </c>
      <c r="B6" s="14">
        <v>5911</v>
      </c>
      <c r="C6" s="14">
        <v>2229</v>
      </c>
      <c r="D6" s="14">
        <v>3805</v>
      </c>
      <c r="E6" s="14">
        <v>4762</v>
      </c>
      <c r="F6" s="14">
        <v>5488</v>
      </c>
      <c r="G6" s="15">
        <f>'Cash Flow Statement'!G31</f>
        <v>6400.5219711123991</v>
      </c>
      <c r="H6" s="15">
        <f>'Cash Flow Statement'!H31</f>
        <v>7412.7879134640016</v>
      </c>
      <c r="I6" s="15">
        <f>'Cash Flow Statement'!I31</f>
        <v>8542.4317412755408</v>
      </c>
      <c r="J6" s="15">
        <f>'Cash Flow Statement'!J31</f>
        <v>9762.591485681196</v>
      </c>
      <c r="K6" s="15">
        <f>'Cash Flow Statement'!K31</f>
        <v>11063.672202012847</v>
      </c>
    </row>
    <row r="7" spans="1:11">
      <c r="A7" s="1" t="s">
        <v>86</v>
      </c>
      <c r="B7" s="14">
        <v>13902</v>
      </c>
      <c r="C7" s="14">
        <v>13499</v>
      </c>
      <c r="D7" s="14">
        <v>11886</v>
      </c>
      <c r="E7" s="14">
        <v>12740</v>
      </c>
      <c r="F7" s="14">
        <v>12304</v>
      </c>
      <c r="G7" s="15">
        <f>'Income Statement'!G8*Assumptions!G15</f>
        <v>12437.200539400001</v>
      </c>
      <c r="H7" s="15">
        <f>'Income Statement'!H8*Assumptions!H15</f>
        <v>12685.944550188</v>
      </c>
      <c r="I7" s="15">
        <f>'Income Statement'!I8*Assumptions!I15</f>
        <v>12985.058360663999</v>
      </c>
      <c r="J7" s="15">
        <f>'Income Statement'!J8*Assumptions!J15</f>
        <v>13374.61011148392</v>
      </c>
      <c r="K7" s="15">
        <f>'Income Statement'!K8*Assumptions!K15</f>
        <v>13775.848414828437</v>
      </c>
    </row>
    <row r="8" spans="1:11">
      <c r="A8" s="1" t="s">
        <v>87</v>
      </c>
      <c r="B8" s="14">
        <v>1760</v>
      </c>
      <c r="C8" s="14">
        <v>2118</v>
      </c>
      <c r="D8" s="14">
        <v>1807</v>
      </c>
      <c r="E8" s="14">
        <v>1952</v>
      </c>
      <c r="F8" s="14">
        <v>2213</v>
      </c>
      <c r="G8" s="15">
        <f>'Income Statement'!G6*Assumptions!G17</f>
        <v>2232.9665800000002</v>
      </c>
      <c r="H8" s="15">
        <f>'Income Statement'!H6*Assumptions!H17</f>
        <v>2277.6259116000001</v>
      </c>
      <c r="I8" s="15">
        <f>'Income Statement'!I6*Assumptions!I17</f>
        <v>2334.5665593899998</v>
      </c>
      <c r="J8" s="15">
        <f>'Income Statement'!J6*Assumptions!J17</f>
        <v>2404.6035561716999</v>
      </c>
      <c r="K8" s="15">
        <f>'Income Statement'!K6*Assumptions!K17</f>
        <v>2476.7416628568508</v>
      </c>
    </row>
    <row r="9" spans="1:11">
      <c r="A9" s="18" t="s">
        <v>88</v>
      </c>
      <c r="B9" s="19">
        <v>21573</v>
      </c>
      <c r="C9" s="19">
        <v>17846</v>
      </c>
      <c r="D9" s="19">
        <v>17498</v>
      </c>
      <c r="E9" s="19">
        <v>19454</v>
      </c>
      <c r="F9" s="19">
        <v>20005</v>
      </c>
      <c r="G9" s="20">
        <f>SUM(G6:G8)</f>
        <v>21070.689090512402</v>
      </c>
      <c r="H9" s="20">
        <f>SUM(H6:H8)</f>
        <v>22376.358375252003</v>
      </c>
      <c r="I9" s="20">
        <f>SUM(I6:I8)</f>
        <v>23862.056661329541</v>
      </c>
      <c r="J9" s="20">
        <f>SUM(J6:J8)</f>
        <v>25541.805153336816</v>
      </c>
      <c r="K9" s="20">
        <f>SUM(K6:K8)</f>
        <v>27316.262279698134</v>
      </c>
    </row>
    <row r="10" spans="1:11">
      <c r="A10" s="1" t="s">
        <v>89</v>
      </c>
      <c r="B10" s="14">
        <v>28181</v>
      </c>
      <c r="C10" s="14">
        <v>31512</v>
      </c>
      <c r="D10" s="14">
        <v>33096</v>
      </c>
      <c r="E10" s="14">
        <v>33022</v>
      </c>
      <c r="F10" s="14">
        <v>33749</v>
      </c>
      <c r="G10" s="15">
        <f>F10-'Cash Flow Statement'!G17-'Cash Flow Statement'!G7</f>
        <v>34807.277999999998</v>
      </c>
      <c r="H10" s="15">
        <f>G10-'Cash Flow Statement'!H17-'Cash Flow Statement'!H7</f>
        <v>35886.721559999998</v>
      </c>
      <c r="I10" s="15">
        <f>H10-'Cash Flow Statement'!I17-'Cash Flow Statement'!I7</f>
        <v>36993.151208999996</v>
      </c>
      <c r="J10" s="15">
        <f>I10-'Cash Flow Statement'!J17-'Cash Flow Statement'!J7</f>
        <v>38132.773747469997</v>
      </c>
      <c r="K10" s="15">
        <f>J10-'Cash Flow Statement'!K17-'Cash Flow Statement'!K7</f>
        <v>39306.584962094093</v>
      </c>
    </row>
    <row r="11" spans="1:11">
      <c r="A11" s="1" t="s">
        <v>90</v>
      </c>
      <c r="B11" s="14">
        <v>2556</v>
      </c>
      <c r="C11" s="14">
        <v>2657</v>
      </c>
      <c r="D11" s="14">
        <v>3362</v>
      </c>
      <c r="E11" s="14">
        <v>3763</v>
      </c>
      <c r="F11" s="14">
        <v>3703</v>
      </c>
      <c r="G11" s="21">
        <f>$F$11</f>
        <v>3703</v>
      </c>
      <c r="H11" s="21">
        <f>$F$11</f>
        <v>3703</v>
      </c>
      <c r="I11" s="21">
        <f>$F$11</f>
        <v>3703</v>
      </c>
      <c r="J11" s="21">
        <f>$F$11</f>
        <v>3703</v>
      </c>
      <c r="K11" s="21">
        <f>$F$11</f>
        <v>3703</v>
      </c>
    </row>
    <row r="12" spans="1:11">
      <c r="A12" s="1" t="s">
        <v>91</v>
      </c>
      <c r="B12" s="14">
        <v>1501</v>
      </c>
      <c r="C12" s="14">
        <v>1320</v>
      </c>
      <c r="D12" s="14">
        <v>1400</v>
      </c>
      <c r="E12" s="14">
        <v>1530</v>
      </c>
      <c r="F12" s="14">
        <v>2033</v>
      </c>
      <c r="G12" s="15">
        <f>'Income Statement'!G6*Assumptions!G19</f>
        <v>2053.0593200000003</v>
      </c>
      <c r="H12" s="15">
        <f>'Income Statement'!H6*Assumptions!H19</f>
        <v>2094.1205064000001</v>
      </c>
      <c r="I12" s="15">
        <f>'Income Statement'!I6*Assumptions!I19</f>
        <v>2146.4735190599999</v>
      </c>
      <c r="J12" s="15">
        <f>'Income Statement'!J6*Assumptions!J19</f>
        <v>2210.8677246318002</v>
      </c>
      <c r="K12" s="15">
        <f>'Income Statement'!K6*Assumptions!K19</f>
        <v>2277.1937563707538</v>
      </c>
    </row>
    <row r="13" spans="1:11">
      <c r="A13" s="18" t="s">
        <v>92</v>
      </c>
      <c r="B13" s="19">
        <v>53811</v>
      </c>
      <c r="C13" s="19">
        <v>53335</v>
      </c>
      <c r="D13" s="19">
        <v>55356</v>
      </c>
      <c r="E13" s="19">
        <v>57769</v>
      </c>
      <c r="F13" s="19">
        <v>59490</v>
      </c>
      <c r="G13" s="20">
        <f>SUM(G9:G12)</f>
        <v>61634.026410512401</v>
      </c>
      <c r="H13" s="20">
        <f>SUM(H9:H12)</f>
        <v>64060.200441651999</v>
      </c>
      <c r="I13" s="20">
        <f>SUM(I9:I12)</f>
        <v>66704.681389389545</v>
      </c>
      <c r="J13" s="20">
        <f>SUM(J9:J12)</f>
        <v>69588.446625438606</v>
      </c>
      <c r="K13" s="20">
        <f>SUM(K9:K12)</f>
        <v>72603.040998162978</v>
      </c>
    </row>
    <row r="14" spans="1:11">
      <c r="A14" s="1" t="s">
        <v>93</v>
      </c>
      <c r="B14" s="14">
        <v>15478</v>
      </c>
      <c r="C14" s="14">
        <v>13487</v>
      </c>
      <c r="D14" s="14">
        <v>12098</v>
      </c>
      <c r="E14" s="14">
        <v>13053</v>
      </c>
      <c r="F14" s="14">
        <v>12622</v>
      </c>
      <c r="G14" s="15">
        <f>'Income Statement'!G8*Assumptions!G16</f>
        <v>12742.4079146</v>
      </c>
      <c r="H14" s="15">
        <f>'Income Statement'!H8*Assumptions!H16</f>
        <v>12997.256072892002</v>
      </c>
      <c r="I14" s="15">
        <f>'Income Statement'!I8*Assumptions!I16</f>
        <v>13303.710099575999</v>
      </c>
      <c r="J14" s="15">
        <f>'Income Statement'!J8*Assumptions!J16</f>
        <v>13702.821402563281</v>
      </c>
      <c r="K14" s="15">
        <f>'Income Statement'!K8*Assumptions!K16</f>
        <v>14113.906044640178</v>
      </c>
    </row>
    <row r="15" spans="1:11">
      <c r="A15" s="1" t="s">
        <v>94</v>
      </c>
      <c r="B15" s="14">
        <v>6098</v>
      </c>
      <c r="C15" s="14">
        <v>5883</v>
      </c>
      <c r="D15" s="14">
        <v>6090</v>
      </c>
      <c r="E15" s="14">
        <v>6110</v>
      </c>
      <c r="F15" s="14">
        <v>6478</v>
      </c>
      <c r="G15" s="15">
        <f>'Income Statement'!G6*Assumptions!G18</f>
        <v>6540.1580400000003</v>
      </c>
      <c r="H15" s="15">
        <f>'Income Statement'!H6*Assumptions!H18</f>
        <v>6670.9612008000004</v>
      </c>
      <c r="I15" s="15">
        <f>'Income Statement'!I6*Assumptions!I18</f>
        <v>6837.7352308199997</v>
      </c>
      <c r="J15" s="15">
        <f>'Income Statement'!J6*Assumptions!J18</f>
        <v>7042.8672877445997</v>
      </c>
      <c r="K15" s="15">
        <f>'Income Statement'!K6*Assumptions!K18</f>
        <v>7254.1533063769375</v>
      </c>
    </row>
    <row r="16" spans="1:11">
      <c r="A16" s="1" t="s">
        <v>95</v>
      </c>
      <c r="B16" s="14">
        <v>171</v>
      </c>
      <c r="C16" s="14">
        <v>130</v>
      </c>
      <c r="D16" s="14">
        <v>1116</v>
      </c>
      <c r="E16" s="14">
        <v>1636</v>
      </c>
      <c r="F16" s="14">
        <v>2130</v>
      </c>
      <c r="G16" s="21">
        <f>$F$16</f>
        <v>2130</v>
      </c>
      <c r="H16" s="21">
        <f>$F$16</f>
        <v>2130</v>
      </c>
      <c r="I16" s="21">
        <f>$F$16</f>
        <v>2130</v>
      </c>
      <c r="J16" s="21">
        <f>$F$16</f>
        <v>2130</v>
      </c>
      <c r="K16" s="21">
        <f>$F$16</f>
        <v>2130</v>
      </c>
    </row>
    <row r="17" spans="1:11">
      <c r="A17" s="18" t="s">
        <v>96</v>
      </c>
      <c r="B17" s="19">
        <v>21747</v>
      </c>
      <c r="C17" s="19">
        <v>19500</v>
      </c>
      <c r="D17" s="19">
        <v>19304</v>
      </c>
      <c r="E17" s="19">
        <v>20799</v>
      </c>
      <c r="F17" s="19">
        <v>21230</v>
      </c>
      <c r="G17" s="20">
        <f>SUM(G14:G16)</f>
        <v>21412.565954600002</v>
      </c>
      <c r="H17" s="20">
        <f>SUM(H14:H16)</f>
        <v>21798.217273692004</v>
      </c>
      <c r="I17" s="20">
        <f>SUM(I14:I16)</f>
        <v>22271.445330396</v>
      </c>
      <c r="J17" s="20">
        <f>SUM(J14:J16)</f>
        <v>22875.688690307881</v>
      </c>
      <c r="K17" s="20">
        <f>SUM(K14:K16)</f>
        <v>23498.059351017117</v>
      </c>
    </row>
    <row r="18" spans="1:11">
      <c r="A18" s="1" t="s">
        <v>97</v>
      </c>
      <c r="B18" s="14">
        <v>13549</v>
      </c>
      <c r="C18" s="14">
        <v>16009</v>
      </c>
      <c r="D18" s="14">
        <v>14922</v>
      </c>
      <c r="E18" s="14">
        <v>14304</v>
      </c>
      <c r="F18" s="14">
        <v>14326</v>
      </c>
      <c r="G18" s="21">
        <f>$F$18</f>
        <v>14326</v>
      </c>
      <c r="H18" s="21">
        <f>$F$18</f>
        <v>14326</v>
      </c>
      <c r="I18" s="21">
        <f>$F$18</f>
        <v>14326</v>
      </c>
      <c r="J18" s="21">
        <f>$F$18</f>
        <v>14326</v>
      </c>
      <c r="K18" s="21">
        <f>$F$18</f>
        <v>14326</v>
      </c>
    </row>
    <row r="19" spans="1:11">
      <c r="A19" s="1" t="s">
        <v>98</v>
      </c>
      <c r="B19" s="14">
        <v>2493</v>
      </c>
      <c r="C19" s="14">
        <v>2638</v>
      </c>
      <c r="D19" s="14">
        <v>3279</v>
      </c>
      <c r="E19" s="14">
        <v>3582</v>
      </c>
      <c r="F19" s="14">
        <v>3462</v>
      </c>
      <c r="G19" s="21">
        <f>$F$19</f>
        <v>3462</v>
      </c>
      <c r="H19" s="21">
        <f>$F$19</f>
        <v>3462</v>
      </c>
      <c r="I19" s="21">
        <f>$F$19</f>
        <v>3462</v>
      </c>
      <c r="J19" s="21">
        <f>$F$19</f>
        <v>3462</v>
      </c>
      <c r="K19" s="21">
        <f>$F$19</f>
        <v>3462</v>
      </c>
    </row>
    <row r="20" spans="1:11">
      <c r="A20" s="1" t="s">
        <v>99</v>
      </c>
      <c r="B20" s="14">
        <v>1566</v>
      </c>
      <c r="C20" s="14">
        <v>2196</v>
      </c>
      <c r="D20" s="14">
        <v>2480</v>
      </c>
      <c r="E20" s="14">
        <v>2303</v>
      </c>
      <c r="F20" s="14">
        <v>2265</v>
      </c>
      <c r="G20" s="21">
        <f>$F$20</f>
        <v>2265</v>
      </c>
      <c r="H20" s="21">
        <f>$F$20</f>
        <v>2265</v>
      </c>
      <c r="I20" s="21">
        <f>$F$20</f>
        <v>2265</v>
      </c>
      <c r="J20" s="21">
        <f>$F$20</f>
        <v>2265</v>
      </c>
      <c r="K20" s="21">
        <f>$F$20</f>
        <v>2265</v>
      </c>
    </row>
    <row r="21" spans="1:11">
      <c r="A21" s="1" t="s">
        <v>100</v>
      </c>
      <c r="B21" s="14">
        <v>1629</v>
      </c>
      <c r="C21" s="14">
        <v>1760</v>
      </c>
      <c r="D21" s="14">
        <v>1939</v>
      </c>
      <c r="E21" s="14">
        <v>2115</v>
      </c>
      <c r="F21" s="14">
        <v>2042</v>
      </c>
      <c r="G21" s="21">
        <f>$F$21</f>
        <v>2042</v>
      </c>
      <c r="H21" s="21">
        <f>$F$21</f>
        <v>2042</v>
      </c>
      <c r="I21" s="21">
        <f>$F$21</f>
        <v>2042</v>
      </c>
      <c r="J21" s="21">
        <f>$F$21</f>
        <v>2042</v>
      </c>
      <c r="K21" s="21">
        <f>$F$21</f>
        <v>2042</v>
      </c>
    </row>
    <row r="22" spans="1:11">
      <c r="A22" s="18" t="s">
        <v>101</v>
      </c>
      <c r="B22" s="19">
        <v>19237</v>
      </c>
      <c r="C22" s="19">
        <v>22603</v>
      </c>
      <c r="D22" s="19">
        <v>22620</v>
      </c>
      <c r="E22" s="19">
        <v>22304</v>
      </c>
      <c r="F22" s="19">
        <v>22095</v>
      </c>
      <c r="G22" s="20">
        <f>SUM(G18:G21)</f>
        <v>22095</v>
      </c>
      <c r="H22" s="20">
        <f>SUM(H18:H21)</f>
        <v>22095</v>
      </c>
      <c r="I22" s="20">
        <f>SUM(I18:I21)</f>
        <v>22095</v>
      </c>
      <c r="J22" s="20">
        <f>SUM(J18:J21)</f>
        <v>22095</v>
      </c>
      <c r="K22" s="20">
        <f>SUM(K18:K21)</f>
        <v>22095</v>
      </c>
    </row>
    <row r="23" spans="1:11">
      <c r="A23" s="1" t="s">
        <v>102</v>
      </c>
      <c r="B23" s="14">
        <v>39</v>
      </c>
      <c r="C23" s="14">
        <v>38</v>
      </c>
      <c r="D23" s="14">
        <v>38</v>
      </c>
      <c r="E23" s="14">
        <v>38</v>
      </c>
      <c r="F23" s="14">
        <v>38</v>
      </c>
      <c r="G23" s="21">
        <f>$F$23</f>
        <v>38</v>
      </c>
      <c r="H23" s="21">
        <f>$F$23</f>
        <v>38</v>
      </c>
      <c r="I23" s="21">
        <f>$F$23</f>
        <v>38</v>
      </c>
      <c r="J23" s="21">
        <f>$F$23</f>
        <v>38</v>
      </c>
      <c r="K23" s="21">
        <f>$F$23</f>
        <v>38</v>
      </c>
    </row>
    <row r="24" spans="1:11">
      <c r="A24" s="1" t="s">
        <v>103</v>
      </c>
      <c r="B24" s="14">
        <v>6421</v>
      </c>
      <c r="C24" s="14">
        <v>6608</v>
      </c>
      <c r="D24" s="14">
        <v>6761</v>
      </c>
      <c r="E24" s="14">
        <v>6996</v>
      </c>
      <c r="F24" s="14">
        <v>7247</v>
      </c>
      <c r="G24" s="15">
        <f>F24+'Cash Flow Statement'!G8</f>
        <v>7532.73506</v>
      </c>
      <c r="H24" s="15">
        <f>G24+'Cash Flow Statement'!H8</f>
        <v>7824.1848212000004</v>
      </c>
      <c r="I24" s="15">
        <f>H24+'Cash Flow Statement'!I8</f>
        <v>8122.9208264300005</v>
      </c>
      <c r="J24" s="15">
        <f>I24+'Cash Flow Statement'!J8</f>
        <v>8430.6189118169004</v>
      </c>
      <c r="K24" s="15">
        <f>J24+'Cash Flow Statement'!K8</f>
        <v>8747.5479397654071</v>
      </c>
    </row>
    <row r="25" spans="1:11">
      <c r="A25" s="1" t="s">
        <v>104</v>
      </c>
      <c r="B25" s="14">
        <v>6920</v>
      </c>
      <c r="C25" s="14">
        <v>5005</v>
      </c>
      <c r="D25" s="14">
        <v>7093</v>
      </c>
      <c r="E25" s="14">
        <v>8090</v>
      </c>
      <c r="F25" s="14">
        <v>9297</v>
      </c>
      <c r="G25" s="15">
        <f>F25+'Income Statement'!G21+'Cash Flow Statement'!G25</f>
        <v>10972.725395912399</v>
      </c>
      <c r="H25" s="15">
        <f>G25+'Income Statement'!H21+'Cash Flow Statement'!H25</f>
        <v>12721.798346759999</v>
      </c>
      <c r="I25" s="15">
        <f>H25+'Income Statement'!I21+'Cash Flow Statement'!I25</f>
        <v>14594.31523256354</v>
      </c>
      <c r="J25" s="15">
        <f>I25+'Income Statement'!J21+'Cash Flow Statement'!J25</f>
        <v>16566.139023313834</v>
      </c>
      <c r="K25" s="15">
        <f>J25+'Income Statement'!K21+'Cash Flow Statement'!K25</f>
        <v>18641.433707380464</v>
      </c>
    </row>
    <row r="26" spans="1:11">
      <c r="A26" s="1" t="s">
        <v>105</v>
      </c>
      <c r="B26" s="14">
        <v>-553</v>
      </c>
      <c r="C26" s="14">
        <v>-419</v>
      </c>
      <c r="D26" s="14">
        <v>-460</v>
      </c>
      <c r="E26" s="14">
        <v>-458</v>
      </c>
      <c r="F26" s="14">
        <v>-417</v>
      </c>
      <c r="G26" s="21">
        <f>$F$26</f>
        <v>-417</v>
      </c>
      <c r="H26" s="21">
        <f>$F$26</f>
        <v>-417</v>
      </c>
      <c r="I26" s="21">
        <f>$F$26</f>
        <v>-417</v>
      </c>
      <c r="J26" s="21">
        <f>$F$26</f>
        <v>-417</v>
      </c>
      <c r="K26" s="21">
        <f>$F$26</f>
        <v>-417</v>
      </c>
    </row>
    <row r="27" spans="1:11">
      <c r="A27" s="18" t="s">
        <v>106</v>
      </c>
      <c r="B27" s="19">
        <v>12827</v>
      </c>
      <c r="C27" s="19">
        <v>11232</v>
      </c>
      <c r="D27" s="19">
        <v>13432</v>
      </c>
      <c r="E27" s="19">
        <v>14666</v>
      </c>
      <c r="F27" s="19">
        <v>16165</v>
      </c>
      <c r="G27" s="20">
        <f>SUM(G23:G26)</f>
        <v>18126.460455912398</v>
      </c>
      <c r="H27" s="20">
        <f>SUM(H23:H26)</f>
        <v>20166.983167959999</v>
      </c>
      <c r="I27" s="20">
        <f>SUM(I23:I26)</f>
        <v>22338.236058993542</v>
      </c>
      <c r="J27" s="20">
        <f>SUM(J23:J26)</f>
        <v>24617.757935130736</v>
      </c>
      <c r="K27" s="20">
        <f>SUM(K23:K26)</f>
        <v>27009.981647145869</v>
      </c>
    </row>
    <row r="28" spans="1:11">
      <c r="A28" s="18" t="s">
        <v>107</v>
      </c>
      <c r="B28" s="19">
        <f t="shared" ref="B28:K28" si="0">SUM(B17,B22,B27)</f>
        <v>53811</v>
      </c>
      <c r="C28" s="19">
        <f t="shared" si="0"/>
        <v>53335</v>
      </c>
      <c r="D28" s="19">
        <f t="shared" si="0"/>
        <v>55356</v>
      </c>
      <c r="E28" s="19">
        <f t="shared" si="0"/>
        <v>57769</v>
      </c>
      <c r="F28" s="19">
        <f t="shared" si="0"/>
        <v>59490</v>
      </c>
      <c r="G28" s="20">
        <f t="shared" si="0"/>
        <v>61634.026410512401</v>
      </c>
      <c r="H28" s="20">
        <f t="shared" si="0"/>
        <v>64060.200441652007</v>
      </c>
      <c r="I28" s="20">
        <f t="shared" si="0"/>
        <v>66704.681389389545</v>
      </c>
      <c r="J28" s="20">
        <f t="shared" si="0"/>
        <v>69588.446625438621</v>
      </c>
      <c r="K28" s="20">
        <f t="shared" si="0"/>
        <v>72603.040998162993</v>
      </c>
    </row>
    <row r="29" spans="1:11">
      <c r="A29" s="24" t="s">
        <v>108</v>
      </c>
      <c r="B29" s="25">
        <f t="shared" ref="B29:K29" si="1">ROUND(B13-B28,6)</f>
        <v>0</v>
      </c>
      <c r="C29" s="25">
        <f t="shared" si="1"/>
        <v>0</v>
      </c>
      <c r="D29" s="25">
        <f t="shared" si="1"/>
        <v>0</v>
      </c>
      <c r="E29" s="25">
        <f t="shared" si="1"/>
        <v>0</v>
      </c>
      <c r="F29" s="25">
        <f t="shared" si="1"/>
        <v>0</v>
      </c>
      <c r="G29" s="26">
        <f t="shared" si="1"/>
        <v>0</v>
      </c>
      <c r="H29" s="26">
        <f t="shared" si="1"/>
        <v>0</v>
      </c>
      <c r="I29" s="26">
        <f t="shared" si="1"/>
        <v>0</v>
      </c>
      <c r="J29" s="26">
        <f t="shared" si="1"/>
        <v>0</v>
      </c>
      <c r="K29" s="26">
        <f t="shared" si="1"/>
        <v>0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showGridLines="0" workbookViewId="0">
      <selection sqref="A1:K1"/>
    </sheetView>
  </sheetViews>
  <sheetFormatPr baseColWidth="10" defaultColWidth="8.83203125" defaultRowHeight="15"/>
  <cols>
    <col min="1" max="1" width="44" customWidth="1"/>
    <col min="2" max="11" width="13" customWidth="1"/>
  </cols>
  <sheetData>
    <row r="1" spans="1:11" ht="26" customHeight="1">
      <c r="A1" s="59" t="s">
        <v>109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5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78</v>
      </c>
      <c r="B6" s="14">
        <v>6946</v>
      </c>
      <c r="C6" s="14">
        <v>2780</v>
      </c>
      <c r="D6" s="14">
        <v>4138</v>
      </c>
      <c r="E6" s="14">
        <v>4091</v>
      </c>
      <c r="F6" s="14">
        <v>3705</v>
      </c>
      <c r="G6" s="15">
        <f>'Income Statement'!G21</f>
        <v>3757.2318294000002</v>
      </c>
      <c r="H6" s="15">
        <f>'Income Statement'!H21</f>
        <v>3921.6882306000016</v>
      </c>
      <c r="I6" s="15">
        <f>'Income Statement'!I21</f>
        <v>4198.4683538196005</v>
      </c>
      <c r="J6" s="15">
        <f>'Income Statement'!J21</f>
        <v>4421.129575673307</v>
      </c>
      <c r="K6" s="15">
        <f>'Income Statement'!K21</f>
        <v>4653.1270943197997</v>
      </c>
    </row>
    <row r="7" spans="1:11">
      <c r="A7" s="1" t="s">
        <v>110</v>
      </c>
      <c r="B7" s="14">
        <v>2642</v>
      </c>
      <c r="C7" s="14">
        <v>2700</v>
      </c>
      <c r="D7" s="14">
        <v>2801</v>
      </c>
      <c r="E7" s="14">
        <v>2981</v>
      </c>
      <c r="F7" s="14">
        <v>3134</v>
      </c>
      <c r="G7" s="15">
        <f>'Income Statement'!G12</f>
        <v>2645.6950000000002</v>
      </c>
      <c r="H7" s="15">
        <f>'Income Statement'!H12</f>
        <v>2698.6089000000002</v>
      </c>
      <c r="I7" s="15">
        <f>'Income Statement'!I12</f>
        <v>2766.0741225000002</v>
      </c>
      <c r="J7" s="15">
        <f>'Income Statement'!J12</f>
        <v>2849.0563461750003</v>
      </c>
      <c r="K7" s="15">
        <f>'Income Statement'!K12</f>
        <v>2934.5280365602503</v>
      </c>
    </row>
    <row r="8" spans="1:11">
      <c r="A8" s="1" t="s">
        <v>111</v>
      </c>
      <c r="B8" s="14">
        <v>228</v>
      </c>
      <c r="C8" s="14">
        <v>220</v>
      </c>
      <c r="D8" s="14">
        <v>251</v>
      </c>
      <c r="E8" s="14">
        <v>304</v>
      </c>
      <c r="F8" s="14">
        <v>281</v>
      </c>
      <c r="G8" s="15">
        <f>'Income Statement'!G6*Assumptions!G20</f>
        <v>285.73506000000003</v>
      </c>
      <c r="H8" s="15">
        <f>'Income Statement'!H6*Assumptions!H20</f>
        <v>291.44976120000001</v>
      </c>
      <c r="I8" s="15">
        <f>'Income Statement'!I6*Assumptions!I20</f>
        <v>298.73600522999999</v>
      </c>
      <c r="J8" s="15">
        <f>'Income Statement'!J6*Assumptions!J20</f>
        <v>307.6980853869</v>
      </c>
      <c r="K8" s="15">
        <f>'Income Statement'!K6*Assumptions!K20</f>
        <v>316.92902794850698</v>
      </c>
    </row>
    <row r="9" spans="1:11">
      <c r="A9" s="1" t="s">
        <v>99</v>
      </c>
      <c r="B9" s="14">
        <v>522</v>
      </c>
      <c r="C9" s="14">
        <v>582</v>
      </c>
      <c r="D9" s="14">
        <v>298</v>
      </c>
      <c r="E9" s="14">
        <v>-180</v>
      </c>
      <c r="F9" s="14">
        <v>-55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</row>
    <row r="10" spans="1:11">
      <c r="A10" s="1" t="s">
        <v>112</v>
      </c>
      <c r="B10" s="14">
        <v>-335</v>
      </c>
      <c r="C10" s="14">
        <v>0</v>
      </c>
      <c r="D10" s="14">
        <v>0</v>
      </c>
      <c r="E10" s="14">
        <v>0</v>
      </c>
      <c r="F10" s="14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</row>
    <row r="11" spans="1:11">
      <c r="A11" s="1" t="s">
        <v>113</v>
      </c>
      <c r="B11" s="14">
        <v>67</v>
      </c>
      <c r="C11" s="14">
        <v>172</v>
      </c>
      <c r="D11" s="14">
        <v>94</v>
      </c>
      <c r="E11" s="14">
        <v>26</v>
      </c>
      <c r="F11" s="14">
        <v>-100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</row>
    <row r="12" spans="1:11">
      <c r="A12" s="1" t="s">
        <v>114</v>
      </c>
      <c r="B12" s="14">
        <v>-3249</v>
      </c>
      <c r="C12" s="14">
        <v>403</v>
      </c>
      <c r="D12" s="14">
        <v>1613</v>
      </c>
      <c r="E12" s="14">
        <v>-854</v>
      </c>
      <c r="F12" s="14">
        <v>436</v>
      </c>
      <c r="G12" s="15">
        <f>-('Balance Sheet'!G7-'Balance Sheet'!F7)</f>
        <v>-133.20053940000071</v>
      </c>
      <c r="H12" s="15">
        <f>-('Balance Sheet'!H7-'Balance Sheet'!G7)</f>
        <v>-248.74401078799929</v>
      </c>
      <c r="I12" s="15">
        <f>-('Balance Sheet'!I7-'Balance Sheet'!H7)</f>
        <v>-299.11381047599934</v>
      </c>
      <c r="J12" s="15">
        <f>-('Balance Sheet'!J7-'Balance Sheet'!I7)</f>
        <v>-389.55175081992093</v>
      </c>
      <c r="K12" s="15">
        <f>-('Balance Sheet'!K7-'Balance Sheet'!J7)</f>
        <v>-401.23830334451668</v>
      </c>
    </row>
    <row r="13" spans="1:11">
      <c r="A13" s="1" t="s">
        <v>115</v>
      </c>
      <c r="B13" s="14">
        <v>-78</v>
      </c>
      <c r="C13" s="14">
        <v>22</v>
      </c>
      <c r="D13" s="14">
        <v>-85</v>
      </c>
      <c r="E13" s="14">
        <v>-308</v>
      </c>
      <c r="F13" s="14">
        <v>-494</v>
      </c>
      <c r="G13" s="15">
        <f>-('Balance Sheet'!G8-'Balance Sheet'!F8)</f>
        <v>-19.966580000000249</v>
      </c>
      <c r="H13" s="15">
        <f>-('Balance Sheet'!H8-'Balance Sheet'!G8)</f>
        <v>-44.659331599999859</v>
      </c>
      <c r="I13" s="15">
        <f>-('Balance Sheet'!I8-'Balance Sheet'!H8)</f>
        <v>-56.94064778999973</v>
      </c>
      <c r="J13" s="15">
        <f>-('Balance Sheet'!J8-'Balance Sheet'!I8)</f>
        <v>-70.036996781700054</v>
      </c>
      <c r="K13" s="15">
        <f>-('Balance Sheet'!K8-'Balance Sheet'!J8)</f>
        <v>-72.138106685150888</v>
      </c>
    </row>
    <row r="14" spans="1:11">
      <c r="A14" s="1" t="s">
        <v>116</v>
      </c>
      <c r="B14" s="14">
        <v>2628</v>
      </c>
      <c r="C14" s="14">
        <v>-2237</v>
      </c>
      <c r="D14" s="14">
        <v>-1216</v>
      </c>
      <c r="E14" s="14">
        <v>1008</v>
      </c>
      <c r="F14" s="14">
        <v>-501</v>
      </c>
      <c r="G14" s="15">
        <f>'Balance Sheet'!G14-'Balance Sheet'!F14</f>
        <v>120.40791460000037</v>
      </c>
      <c r="H14" s="15">
        <f>'Balance Sheet'!H14-'Balance Sheet'!G14</f>
        <v>254.84815829200124</v>
      </c>
      <c r="I14" s="15">
        <f>'Balance Sheet'!I14-'Balance Sheet'!H14</f>
        <v>306.45402668399765</v>
      </c>
      <c r="J14" s="15">
        <f>'Balance Sheet'!J14-'Balance Sheet'!I14</f>
        <v>399.11130298728131</v>
      </c>
      <c r="K14" s="15">
        <f>'Balance Sheet'!K14-'Balance Sheet'!J14</f>
        <v>411.08464207689758</v>
      </c>
    </row>
    <row r="15" spans="1:11">
      <c r="A15" s="1" t="s">
        <v>117</v>
      </c>
      <c r="B15" s="14">
        <v>-746</v>
      </c>
      <c r="C15" s="14">
        <v>-624</v>
      </c>
      <c r="D15" s="14">
        <v>727</v>
      </c>
      <c r="E15" s="14">
        <v>299</v>
      </c>
      <c r="F15" s="14">
        <v>156</v>
      </c>
      <c r="G15" s="15">
        <f>'Balance Sheet'!G15-'Balance Sheet'!F15</f>
        <v>62.158040000000256</v>
      </c>
      <c r="H15" s="15">
        <f>'Balance Sheet'!H15-'Balance Sheet'!G15</f>
        <v>130.80316080000011</v>
      </c>
      <c r="I15" s="15">
        <f>'Balance Sheet'!I15-'Balance Sheet'!H15</f>
        <v>166.77403001999937</v>
      </c>
      <c r="J15" s="15">
        <f>'Balance Sheet'!J15-'Balance Sheet'!I15</f>
        <v>205.13205692459996</v>
      </c>
      <c r="K15" s="15">
        <f>'Balance Sheet'!K15-'Balance Sheet'!J15</f>
        <v>211.2860186323378</v>
      </c>
    </row>
    <row r="16" spans="1:11">
      <c r="A16" s="18" t="s">
        <v>118</v>
      </c>
      <c r="B16" s="19">
        <v>8625</v>
      </c>
      <c r="C16" s="19">
        <v>4018</v>
      </c>
      <c r="D16" s="19">
        <v>8621</v>
      </c>
      <c r="E16" s="19">
        <v>7367</v>
      </c>
      <c r="F16" s="19">
        <v>6562</v>
      </c>
      <c r="G16" s="20">
        <f>SUM(G6:G15)</f>
        <v>6718.0607246</v>
      </c>
      <c r="H16" s="20">
        <f>SUM(H6:H15)</f>
        <v>7003.9948685040035</v>
      </c>
      <c r="I16" s="20">
        <f>SUM(I6:I15)</f>
        <v>7380.4520799875982</v>
      </c>
      <c r="J16" s="20">
        <f>SUM(J6:J15)</f>
        <v>7722.5386195454685</v>
      </c>
      <c r="K16" s="20">
        <f>SUM(K6:K15)</f>
        <v>8053.5784095081244</v>
      </c>
    </row>
    <row r="17" spans="1:11">
      <c r="A17" s="1" t="s">
        <v>119</v>
      </c>
      <c r="B17" s="14">
        <v>-3544</v>
      </c>
      <c r="C17" s="14">
        <v>-5528</v>
      </c>
      <c r="D17" s="14">
        <v>-4806</v>
      </c>
      <c r="E17" s="14">
        <v>-2891</v>
      </c>
      <c r="F17" s="14">
        <v>-3727</v>
      </c>
      <c r="G17" s="15">
        <f>-'Income Statement'!G6*Assumptions!G11</f>
        <v>-3703.9730000000004</v>
      </c>
      <c r="H17" s="15">
        <f>-'Income Statement'!H6*Assumptions!H11</f>
        <v>-3778.0524600000003</v>
      </c>
      <c r="I17" s="15">
        <f>-'Income Statement'!I6*Assumptions!I11</f>
        <v>-3872.5037714999999</v>
      </c>
      <c r="J17" s="15">
        <f>-'Income Statement'!J6*Assumptions!J11</f>
        <v>-3988.6788846450004</v>
      </c>
      <c r="K17" s="15">
        <f>-'Income Statement'!K6*Assumptions!K11</f>
        <v>-4108.3392511843504</v>
      </c>
    </row>
    <row r="18" spans="1:11">
      <c r="A18" s="1" t="s">
        <v>120</v>
      </c>
      <c r="B18" s="14">
        <v>27</v>
      </c>
      <c r="C18" s="14">
        <v>8</v>
      </c>
      <c r="D18" s="14">
        <v>0</v>
      </c>
      <c r="E18" s="14">
        <v>0</v>
      </c>
      <c r="F18" s="14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</row>
    <row r="19" spans="1:11">
      <c r="A19" s="1" t="s">
        <v>121</v>
      </c>
      <c r="B19" s="14">
        <v>356</v>
      </c>
      <c r="C19" s="14">
        <v>0</v>
      </c>
      <c r="D19" s="14">
        <v>0</v>
      </c>
      <c r="E19" s="14">
        <v>0</v>
      </c>
      <c r="F19" s="14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</row>
    <row r="20" spans="1:11">
      <c r="A20" s="1" t="s">
        <v>122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5">
        <f>-('Balance Sheet'!G12-'Balance Sheet'!F12)</f>
        <v>-20.059320000000298</v>
      </c>
      <c r="H20" s="15">
        <f>-('Balance Sheet'!H12-'Balance Sheet'!G12)</f>
        <v>-41.061186399999769</v>
      </c>
      <c r="I20" s="15">
        <f>-('Balance Sheet'!I12-'Balance Sheet'!H12)</f>
        <v>-52.353012659999877</v>
      </c>
      <c r="J20" s="15">
        <f>-('Balance Sheet'!J12-'Balance Sheet'!I12)</f>
        <v>-64.394205571800285</v>
      </c>
      <c r="K20" s="15">
        <f>-('Balance Sheet'!K12-'Balance Sheet'!J12)</f>
        <v>-66.326031738953589</v>
      </c>
    </row>
    <row r="21" spans="1:11">
      <c r="A21" s="1" t="s">
        <v>123</v>
      </c>
      <c r="B21" s="14">
        <v>7</v>
      </c>
      <c r="C21" s="14">
        <v>16</v>
      </c>
      <c r="D21" s="14">
        <v>46</v>
      </c>
      <c r="E21" s="14">
        <v>31</v>
      </c>
      <c r="F21" s="14">
        <v>78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</row>
    <row r="22" spans="1:11">
      <c r="A22" s="18" t="s">
        <v>124</v>
      </c>
      <c r="B22" s="19">
        <v>-3154</v>
      </c>
      <c r="C22" s="19">
        <v>-5504</v>
      </c>
      <c r="D22" s="19">
        <v>-4760</v>
      </c>
      <c r="E22" s="19">
        <v>-2860</v>
      </c>
      <c r="F22" s="19">
        <v>-3649</v>
      </c>
      <c r="G22" s="20">
        <f>SUM(G17:G21)</f>
        <v>-3724.0323200000007</v>
      </c>
      <c r="H22" s="20">
        <f>SUM(H17:H21)</f>
        <v>-3819.1136464000001</v>
      </c>
      <c r="I22" s="20">
        <f>SUM(I17:I21)</f>
        <v>-3924.8567841599997</v>
      </c>
      <c r="J22" s="20">
        <f>SUM(J17:J21)</f>
        <v>-4053.0730902168007</v>
      </c>
      <c r="K22" s="20">
        <f>SUM(K17:K21)</f>
        <v>-4174.6652829233044</v>
      </c>
    </row>
    <row r="23" spans="1:11">
      <c r="A23" s="1" t="s">
        <v>125</v>
      </c>
      <c r="B23" s="14">
        <v>1972</v>
      </c>
      <c r="C23" s="14">
        <v>2625</v>
      </c>
      <c r="D23" s="14">
        <v>0</v>
      </c>
      <c r="E23" s="14">
        <v>741</v>
      </c>
      <c r="F23" s="14">
        <v>1984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</row>
    <row r="24" spans="1:11">
      <c r="A24" s="1" t="s">
        <v>126</v>
      </c>
      <c r="B24" s="14">
        <v>-1147</v>
      </c>
      <c r="C24" s="14">
        <v>-163</v>
      </c>
      <c r="D24" s="14">
        <v>-147</v>
      </c>
      <c r="E24" s="14">
        <v>-1139</v>
      </c>
      <c r="F24" s="14">
        <v>-1643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</row>
    <row r="25" spans="1:11">
      <c r="A25" s="1" t="s">
        <v>127</v>
      </c>
      <c r="B25" s="14">
        <v>-1548</v>
      </c>
      <c r="C25" s="14">
        <v>-1836</v>
      </c>
      <c r="D25" s="14">
        <v>-2011</v>
      </c>
      <c r="E25" s="14">
        <v>-2046</v>
      </c>
      <c r="F25" s="14">
        <v>-2053</v>
      </c>
      <c r="G25" s="15">
        <f>-'Income Statement'!G21*Assumptions!G21</f>
        <v>-2081.5064334876001</v>
      </c>
      <c r="H25" s="15">
        <f>-'Income Statement'!H21*Assumptions!H21</f>
        <v>-2172.615279752401</v>
      </c>
      <c r="I25" s="15">
        <f>-'Income Statement'!I21*Assumptions!I21</f>
        <v>-2325.9514680160587</v>
      </c>
      <c r="J25" s="15">
        <f>-'Income Statement'!J21*Assumptions!J21</f>
        <v>-2449.3057849230122</v>
      </c>
      <c r="K25" s="15">
        <f>-'Income Statement'!K21*Assumptions!K21</f>
        <v>-2577.8324102531692</v>
      </c>
    </row>
    <row r="26" spans="1:11">
      <c r="A26" s="1" t="s">
        <v>128</v>
      </c>
      <c r="B26" s="14">
        <v>-7356</v>
      </c>
      <c r="C26" s="14">
        <v>-2826</v>
      </c>
      <c r="D26" s="14">
        <v>0</v>
      </c>
      <c r="E26" s="14">
        <v>-1007</v>
      </c>
      <c r="F26" s="14">
        <v>-408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</row>
    <row r="27" spans="1:11">
      <c r="A27" s="1" t="s">
        <v>129</v>
      </c>
      <c r="B27" s="14">
        <v>8</v>
      </c>
      <c r="C27" s="14">
        <v>4</v>
      </c>
      <c r="D27" s="14">
        <v>-127</v>
      </c>
      <c r="E27" s="14">
        <v>-99</v>
      </c>
      <c r="F27" s="14">
        <v>-67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</row>
    <row r="28" spans="1:11">
      <c r="A28" s="18" t="s">
        <v>130</v>
      </c>
      <c r="B28" s="19">
        <v>-8071</v>
      </c>
      <c r="C28" s="19">
        <v>-2196</v>
      </c>
      <c r="D28" s="19">
        <v>-2285</v>
      </c>
      <c r="E28" s="19">
        <v>-3550</v>
      </c>
      <c r="F28" s="19">
        <v>-2187</v>
      </c>
      <c r="G28" s="20">
        <f>SUM(G23:G27)</f>
        <v>-2081.5064334876001</v>
      </c>
      <c r="H28" s="20">
        <f>SUM(H23:H27)</f>
        <v>-2172.615279752401</v>
      </c>
      <c r="I28" s="20">
        <f>SUM(I23:I27)</f>
        <v>-2325.9514680160587</v>
      </c>
      <c r="J28" s="20">
        <f>SUM(J23:J27)</f>
        <v>-2449.3057849230122</v>
      </c>
      <c r="K28" s="20">
        <f>SUM(K23:K27)</f>
        <v>-2577.8324102531692</v>
      </c>
    </row>
    <row r="29" spans="1:11">
      <c r="A29" s="18" t="s">
        <v>131</v>
      </c>
      <c r="B29" s="19">
        <v>-2600</v>
      </c>
      <c r="C29" s="19">
        <v>-3682</v>
      </c>
      <c r="D29" s="19">
        <v>1576</v>
      </c>
      <c r="E29" s="19">
        <v>957</v>
      </c>
      <c r="F29" s="19">
        <v>726</v>
      </c>
      <c r="G29" s="20">
        <f>SUM(G16,G22,G28)</f>
        <v>912.52197111239911</v>
      </c>
      <c r="H29" s="20">
        <f>SUM(H16,H22,H28)</f>
        <v>1012.2659423516025</v>
      </c>
      <c r="I29" s="20">
        <f>SUM(I16,I22,I28)</f>
        <v>1129.6438278115397</v>
      </c>
      <c r="J29" s="20">
        <f>SUM(J16,J22,J28)</f>
        <v>1220.1597444056556</v>
      </c>
      <c r="K29" s="20">
        <f>SUM(K16,K22,K28)</f>
        <v>1301.0807163316508</v>
      </c>
    </row>
    <row r="30" spans="1:11">
      <c r="A30" s="1" t="s">
        <v>132</v>
      </c>
      <c r="B30" s="14">
        <v>8511</v>
      </c>
      <c r="C30" s="14">
        <v>5911</v>
      </c>
      <c r="D30" s="14">
        <v>2229</v>
      </c>
      <c r="E30" s="14">
        <v>3805</v>
      </c>
      <c r="F30" s="14">
        <v>4762</v>
      </c>
      <c r="G30" s="15">
        <f>'Balance Sheet'!F6</f>
        <v>5488</v>
      </c>
      <c r="H30" s="15">
        <f>'Balance Sheet'!G6</f>
        <v>6400.5219711123991</v>
      </c>
      <c r="I30" s="15">
        <f>'Balance Sheet'!H6</f>
        <v>7412.7879134640016</v>
      </c>
      <c r="J30" s="15">
        <f>'Balance Sheet'!I6</f>
        <v>8542.4317412755408</v>
      </c>
      <c r="K30" s="15">
        <f>'Balance Sheet'!J6</f>
        <v>9762.591485681196</v>
      </c>
    </row>
    <row r="31" spans="1:11">
      <c r="A31" s="18" t="s">
        <v>133</v>
      </c>
      <c r="B31" s="19">
        <v>5911</v>
      </c>
      <c r="C31" s="19">
        <v>2229</v>
      </c>
      <c r="D31" s="19">
        <v>3805</v>
      </c>
      <c r="E31" s="19">
        <v>4762</v>
      </c>
      <c r="F31" s="19">
        <v>5488</v>
      </c>
      <c r="G31" s="20">
        <f>G30+G29</f>
        <v>6400.5219711123991</v>
      </c>
      <c r="H31" s="20">
        <f>H30+H29</f>
        <v>7412.7879134640016</v>
      </c>
      <c r="I31" s="20">
        <f>I30+I29</f>
        <v>8542.4317412755408</v>
      </c>
      <c r="J31" s="20">
        <f>J30+J29</f>
        <v>9762.591485681196</v>
      </c>
      <c r="K31" s="20">
        <f>K30+K29</f>
        <v>11063.672202012847</v>
      </c>
    </row>
  </sheetData>
  <mergeCells count="2">
    <mergeCell ref="A1:K1"/>
    <mergeCell ref="A2:K2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2"/>
  <sheetViews>
    <sheetView showGridLines="0" workbookViewId="0">
      <selection sqref="A1:K1"/>
    </sheetView>
  </sheetViews>
  <sheetFormatPr baseColWidth="10" defaultColWidth="8.83203125" defaultRowHeight="15"/>
  <cols>
    <col min="1" max="1" width="42" customWidth="1"/>
    <col min="2" max="11" width="13" customWidth="1"/>
  </cols>
  <sheetData>
    <row r="1" spans="1:11" ht="26" customHeight="1">
      <c r="A1" s="59" t="s">
        <v>134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135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0" customHeight="1">
      <c r="A4" s="56" t="s">
        <v>136</v>
      </c>
      <c r="B4" s="56" t="s">
        <v>136</v>
      </c>
      <c r="C4" s="56" t="s">
        <v>136</v>
      </c>
      <c r="D4" s="56" t="s">
        <v>136</v>
      </c>
      <c r="E4" s="56" t="s">
        <v>136</v>
      </c>
      <c r="F4" s="56" t="s">
        <v>136</v>
      </c>
      <c r="G4" s="1"/>
      <c r="H4" s="1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137</v>
      </c>
      <c r="B6" s="27">
        <f>Assumptions!B24</f>
        <v>130.21</v>
      </c>
      <c r="C6" s="1"/>
      <c r="D6" s="1"/>
      <c r="E6" s="1"/>
      <c r="F6" s="1"/>
      <c r="G6" s="1"/>
      <c r="H6" s="1"/>
      <c r="I6" s="1"/>
      <c r="J6" s="1"/>
      <c r="K6" s="1"/>
    </row>
    <row r="7" spans="1:11">
      <c r="A7" s="1" t="s">
        <v>47</v>
      </c>
      <c r="B7" s="15">
        <f>Assumptions!B25</f>
        <v>454.19</v>
      </c>
      <c r="C7" s="1"/>
      <c r="D7" s="1"/>
      <c r="E7" s="1"/>
      <c r="F7" s="1"/>
      <c r="G7" s="1"/>
      <c r="H7" s="1"/>
      <c r="I7" s="1"/>
      <c r="J7" s="1"/>
      <c r="K7" s="1"/>
    </row>
    <row r="8" spans="1:11">
      <c r="A8" s="18" t="s">
        <v>138</v>
      </c>
      <c r="B8" s="28">
        <f>B6*B7</f>
        <v>59140.079900000004</v>
      </c>
      <c r="C8" s="18"/>
      <c r="D8" s="18"/>
      <c r="E8" s="18"/>
      <c r="F8" s="18"/>
      <c r="G8" s="18"/>
      <c r="H8" s="18"/>
      <c r="I8" s="18"/>
      <c r="J8" s="18"/>
      <c r="K8" s="18"/>
    </row>
    <row r="9" spans="1:11">
      <c r="A9" s="1" t="s">
        <v>95</v>
      </c>
      <c r="B9" s="15">
        <f>'Balance Sheet'!F16</f>
        <v>2130</v>
      </c>
      <c r="C9" s="1"/>
      <c r="D9" s="1"/>
      <c r="E9" s="1"/>
      <c r="F9" s="1"/>
      <c r="G9" s="1"/>
      <c r="H9" s="1"/>
      <c r="I9" s="1"/>
      <c r="J9" s="1"/>
      <c r="K9" s="1"/>
    </row>
    <row r="10" spans="1:11">
      <c r="A10" s="1" t="s">
        <v>97</v>
      </c>
      <c r="B10" s="15">
        <f>'Balance Sheet'!F18</f>
        <v>14326</v>
      </c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18" t="s">
        <v>139</v>
      </c>
      <c r="B11" s="28">
        <f>SUM(B9:B10)</f>
        <v>16456</v>
      </c>
      <c r="C11" s="18"/>
      <c r="D11" s="18"/>
      <c r="E11" s="18"/>
      <c r="F11" s="18"/>
      <c r="G11" s="18"/>
      <c r="H11" s="18"/>
      <c r="I11" s="18"/>
      <c r="J11" s="18"/>
      <c r="K11" s="18"/>
    </row>
    <row r="12" spans="1:11">
      <c r="A12" s="18" t="s">
        <v>140</v>
      </c>
      <c r="B12" s="28">
        <f>SUM(B8,B11)</f>
        <v>75596.079900000012</v>
      </c>
      <c r="C12" s="18"/>
      <c r="D12" s="18"/>
      <c r="E12" s="18"/>
      <c r="F12" s="18"/>
      <c r="G12" s="18"/>
      <c r="H12" s="18"/>
      <c r="I12" s="18"/>
      <c r="J12" s="18"/>
      <c r="K12" s="18"/>
    </row>
    <row r="13" spans="1:11">
      <c r="A13" s="1" t="s">
        <v>141</v>
      </c>
      <c r="B13" s="29">
        <f>B8/B12</f>
        <v>0.78231675476071871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>
      <c r="A14" s="1" t="s">
        <v>142</v>
      </c>
      <c r="B14" s="29">
        <f>B11/B12</f>
        <v>0.2176832452392812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 t="s">
        <v>49</v>
      </c>
      <c r="B15" s="29">
        <f>Assumptions!B26</f>
        <v>4.48E-2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 t="s">
        <v>51</v>
      </c>
      <c r="B16" s="30">
        <f>Assumptions!B27</f>
        <v>0.99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 t="s">
        <v>53</v>
      </c>
      <c r="B17" s="29">
        <f>Assumptions!B28</f>
        <v>0.05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 t="s">
        <v>143</v>
      </c>
      <c r="B18" s="29">
        <f>B15+B16*B17</f>
        <v>9.4299999999999995E-2</v>
      </c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 t="s">
        <v>55</v>
      </c>
      <c r="B19" s="29">
        <f>Assumptions!B29</f>
        <v>5.2999999999999999E-2</v>
      </c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 t="s">
        <v>144</v>
      </c>
      <c r="B20" s="29">
        <f>Assumptions!G12</f>
        <v>0.223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145</v>
      </c>
      <c r="B21" s="29">
        <f>B19*(1-B20)</f>
        <v>4.1181000000000002E-2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31" t="s">
        <v>146</v>
      </c>
      <c r="B22" s="32">
        <f>B13*B18+B14*B21</f>
        <v>8.2736883696134605E-2</v>
      </c>
      <c r="C22" s="1"/>
      <c r="D22" s="1"/>
      <c r="E22" s="1"/>
      <c r="F22" s="1"/>
      <c r="G22" s="1"/>
      <c r="H22" s="1"/>
      <c r="I22" s="1"/>
      <c r="J22" s="1"/>
      <c r="K22" s="1"/>
    </row>
  </sheetData>
  <mergeCells count="3">
    <mergeCell ref="A1:K1"/>
    <mergeCell ref="A2:K2"/>
    <mergeCell ref="A4:F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1"/>
  <sheetViews>
    <sheetView showGridLines="0" workbookViewId="0">
      <selection sqref="A1:K1"/>
    </sheetView>
  </sheetViews>
  <sheetFormatPr baseColWidth="10" defaultColWidth="8.83203125" defaultRowHeight="15"/>
  <cols>
    <col min="1" max="1" width="42" customWidth="1"/>
    <col min="2" max="11" width="13" customWidth="1"/>
  </cols>
  <sheetData>
    <row r="1" spans="1:11" ht="26" customHeight="1">
      <c r="A1" s="59" t="s">
        <v>147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33" t="s">
        <v>24</v>
      </c>
      <c r="H4" s="33" t="s">
        <v>25</v>
      </c>
      <c r="I4" s="33" t="s">
        <v>26</v>
      </c>
      <c r="J4" s="33" t="s">
        <v>27</v>
      </c>
      <c r="K4" s="33" t="s">
        <v>28</v>
      </c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>
      <c r="A6" s="1" t="s">
        <v>148</v>
      </c>
      <c r="B6" s="1"/>
      <c r="C6" s="1"/>
      <c r="D6" s="1"/>
      <c r="E6" s="1"/>
      <c r="F6" s="1"/>
      <c r="G6" s="15">
        <f>'Income Statement'!G14</f>
        <v>5185.5622000000003</v>
      </c>
      <c r="H6" s="15">
        <f>'Income Statement'!H14</f>
        <v>5397.2178000000022</v>
      </c>
      <c r="I6" s="15">
        <f>'Income Statement'!I14</f>
        <v>5753.4341748000006</v>
      </c>
      <c r="J6" s="15">
        <f>'Income Statement'!J14</f>
        <v>6039.9994538909996</v>
      </c>
      <c r="K6" s="15">
        <f>'Income Statement'!K14</f>
        <v>6338.5805589701413</v>
      </c>
    </row>
    <row r="7" spans="1:11">
      <c r="A7" s="1" t="s">
        <v>149</v>
      </c>
      <c r="B7" s="1"/>
      <c r="C7" s="1"/>
      <c r="D7" s="1"/>
      <c r="E7" s="1"/>
      <c r="F7" s="1"/>
      <c r="G7" s="15">
        <f>-G6*Assumptions!G12</f>
        <v>-1156.3803706000001</v>
      </c>
      <c r="H7" s="15">
        <f>-H6*Assumptions!H12</f>
        <v>-1203.5795694000005</v>
      </c>
      <c r="I7" s="15">
        <f>-I6*Assumptions!I12</f>
        <v>-1283.0158209804001</v>
      </c>
      <c r="J7" s="15">
        <f>-J6*Assumptions!J12</f>
        <v>-1346.9198782176929</v>
      </c>
      <c r="K7" s="15">
        <f>-K6*Assumptions!K12</f>
        <v>-1413.5034646503416</v>
      </c>
    </row>
    <row r="8" spans="1:11">
      <c r="A8" s="18" t="s">
        <v>150</v>
      </c>
      <c r="B8" s="18"/>
      <c r="C8" s="18"/>
      <c r="D8" s="18"/>
      <c r="E8" s="18"/>
      <c r="F8" s="18"/>
      <c r="G8" s="28">
        <f>SUM(G6:G7)</f>
        <v>4029.1818294000004</v>
      </c>
      <c r="H8" s="28">
        <f>SUM(H6:H7)</f>
        <v>4193.6382306000014</v>
      </c>
      <c r="I8" s="28">
        <f>SUM(I6:I7)</f>
        <v>4470.4183538196003</v>
      </c>
      <c r="J8" s="28">
        <f>SUM(J6:J7)</f>
        <v>4693.0795756733069</v>
      </c>
      <c r="K8" s="28">
        <f>SUM(K6:K7)</f>
        <v>4925.0770943197995</v>
      </c>
    </row>
    <row r="9" spans="1:11">
      <c r="A9" s="1" t="s">
        <v>151</v>
      </c>
      <c r="B9" s="1"/>
      <c r="C9" s="1"/>
      <c r="D9" s="1"/>
      <c r="E9" s="1"/>
      <c r="F9" s="1"/>
      <c r="G9" s="15">
        <f>'Income Statement'!G12</f>
        <v>2645.6950000000002</v>
      </c>
      <c r="H9" s="15">
        <f>'Income Statement'!H12</f>
        <v>2698.6089000000002</v>
      </c>
      <c r="I9" s="15">
        <f>'Income Statement'!I12</f>
        <v>2766.0741225000002</v>
      </c>
      <c r="J9" s="15">
        <f>'Income Statement'!J12</f>
        <v>2849.0563461750003</v>
      </c>
      <c r="K9" s="15">
        <f>'Income Statement'!K12</f>
        <v>2934.5280365602503</v>
      </c>
    </row>
    <row r="10" spans="1:11">
      <c r="A10" s="1" t="s">
        <v>119</v>
      </c>
      <c r="B10" s="1"/>
      <c r="C10" s="1"/>
      <c r="D10" s="1"/>
      <c r="E10" s="1"/>
      <c r="F10" s="1"/>
      <c r="G10" s="15">
        <f>'Cash Flow Statement'!G17</f>
        <v>-3703.9730000000004</v>
      </c>
      <c r="H10" s="15">
        <f>'Cash Flow Statement'!H17</f>
        <v>-3778.0524600000003</v>
      </c>
      <c r="I10" s="15">
        <f>'Cash Flow Statement'!I17</f>
        <v>-3872.5037714999999</v>
      </c>
      <c r="J10" s="15">
        <f>'Cash Flow Statement'!J17</f>
        <v>-3988.6788846450004</v>
      </c>
      <c r="K10" s="15">
        <f>'Cash Flow Statement'!K17</f>
        <v>-4108.3392511843504</v>
      </c>
    </row>
    <row r="11" spans="1:11">
      <c r="A11" s="1" t="s">
        <v>152</v>
      </c>
      <c r="B11" s="1"/>
      <c r="C11" s="1"/>
      <c r="D11" s="1"/>
      <c r="E11" s="1"/>
      <c r="F11" s="1"/>
      <c r="G11" s="15">
        <f>SUM('Balance Sheet'!G7:'Balance Sheet'!G8)-SUM('Balance Sheet'!G14:'Balance Sheet'!G15)</f>
        <v>-4612.3988352000015</v>
      </c>
      <c r="H11" s="15">
        <f>SUM('Balance Sheet'!H7:'Balance Sheet'!H8)-SUM('Balance Sheet'!H14:'Balance Sheet'!H15)</f>
        <v>-4704.6468119040037</v>
      </c>
      <c r="I11" s="15">
        <f>SUM('Balance Sheet'!I7:'Balance Sheet'!I8)-SUM('Balance Sheet'!I14:'Balance Sheet'!I15)</f>
        <v>-4821.8204103420012</v>
      </c>
      <c r="J11" s="15">
        <f>SUM('Balance Sheet'!J7:'Balance Sheet'!J8)-SUM('Balance Sheet'!J14:'Balance Sheet'!J15)</f>
        <v>-4966.475022652261</v>
      </c>
      <c r="K11" s="15">
        <f>SUM('Balance Sheet'!K7:'Balance Sheet'!K8)-SUM('Balance Sheet'!K14:'Balance Sheet'!K15)</f>
        <v>-5115.4692733318298</v>
      </c>
    </row>
    <row r="12" spans="1:11">
      <c r="A12" s="1" t="s">
        <v>153</v>
      </c>
      <c r="B12" s="1"/>
      <c r="C12" s="1"/>
      <c r="D12" s="1"/>
      <c r="E12" s="1"/>
      <c r="F12" s="1"/>
      <c r="G12" s="15">
        <f>-((SUM('Balance Sheet'!G7:'Balance Sheet'!G8)-SUM('Balance Sheet'!G14:'Balance Sheet'!G15))-(SUM('Balance Sheet'!F7:'Balance Sheet'!F8)-SUM('Balance Sheet'!F14:'Balance Sheet'!F15)))</f>
        <v>29.398835200001486</v>
      </c>
      <c r="H12" s="15">
        <f>-((SUM('Balance Sheet'!H7:'Balance Sheet'!H8)-SUM('Balance Sheet'!H14:'Balance Sheet'!H15))-(SUM('Balance Sheet'!G7:'Balance Sheet'!G8)-SUM('Balance Sheet'!G14:'Balance Sheet'!G15)))</f>
        <v>92.247976704002213</v>
      </c>
      <c r="I12" s="15">
        <f>-((SUM('Balance Sheet'!I7:'Balance Sheet'!I8)-SUM('Balance Sheet'!I14:'Balance Sheet'!I15))-(SUM('Balance Sheet'!H7:'Balance Sheet'!H8)-SUM('Balance Sheet'!H14:'Balance Sheet'!H15)))</f>
        <v>117.1735984379975</v>
      </c>
      <c r="J12" s="15">
        <f>-((SUM('Balance Sheet'!J7:'Balance Sheet'!J8)-SUM('Balance Sheet'!J14:'Balance Sheet'!J15))-(SUM('Balance Sheet'!I7:'Balance Sheet'!I8)-SUM('Balance Sheet'!I14:'Balance Sheet'!I15)))</f>
        <v>144.65461231025984</v>
      </c>
      <c r="K12" s="15">
        <f>-((SUM('Balance Sheet'!K7:'Balance Sheet'!K8)-SUM('Balance Sheet'!K14:'Balance Sheet'!K15))-(SUM('Balance Sheet'!J7:'Balance Sheet'!J8)-SUM('Balance Sheet'!J14:'Balance Sheet'!J15)))</f>
        <v>148.99425067956872</v>
      </c>
    </row>
    <row r="13" spans="1:11">
      <c r="A13" s="18" t="s">
        <v>154</v>
      </c>
      <c r="B13" s="18"/>
      <c r="C13" s="18"/>
      <c r="D13" s="18"/>
      <c r="E13" s="18"/>
      <c r="F13" s="18"/>
      <c r="G13" s="28">
        <f>SUM(G8:G10,G12)</f>
        <v>3000.3026646000012</v>
      </c>
      <c r="H13" s="28">
        <f>SUM(H8:H10,H12)</f>
        <v>3206.4426473040035</v>
      </c>
      <c r="I13" s="28">
        <f>SUM(I8:I10,I12)</f>
        <v>3481.1623032575981</v>
      </c>
      <c r="J13" s="28">
        <f>SUM(J8:J10,J12)</f>
        <v>3698.1116495135661</v>
      </c>
      <c r="K13" s="28">
        <f>SUM(K8:K10,K12)</f>
        <v>3900.2601303752681</v>
      </c>
    </row>
    <row r="14" spans="1:11">
      <c r="A14" s="1" t="s">
        <v>155</v>
      </c>
      <c r="B14" s="1"/>
      <c r="C14" s="1"/>
      <c r="D14" s="1"/>
      <c r="E14" s="1"/>
      <c r="F14" s="1"/>
      <c r="G14" s="15">
        <v>1</v>
      </c>
      <c r="H14" s="15">
        <v>2</v>
      </c>
      <c r="I14" s="15">
        <v>3</v>
      </c>
      <c r="J14" s="15">
        <v>4</v>
      </c>
      <c r="K14" s="15">
        <v>5</v>
      </c>
    </row>
    <row r="15" spans="1:11">
      <c r="A15" s="1" t="s">
        <v>156</v>
      </c>
      <c r="B15" s="1"/>
      <c r="C15" s="1"/>
      <c r="D15" s="1"/>
      <c r="E15" s="1"/>
      <c r="F15" s="1"/>
      <c r="G15" s="34">
        <f>1/(1+WACC!$B$22)^G14</f>
        <v>0.92358542048212489</v>
      </c>
      <c r="H15" s="34">
        <f>1/(1+WACC!$B$22)^H14</f>
        <v>0.85301002892714339</v>
      </c>
      <c r="I15" s="34">
        <f>1/(1+WACC!$B$22)^I14</f>
        <v>0.7878276262421452</v>
      </c>
      <c r="J15" s="34">
        <f>1/(1+WACC!$B$22)^J14</f>
        <v>0.72762610945028594</v>
      </c>
      <c r="K15" s="34">
        <f>1/(1+WACC!$B$22)^K14</f>
        <v>0.67202486625041502</v>
      </c>
    </row>
    <row r="16" spans="1:11">
      <c r="A16" s="18" t="s">
        <v>157</v>
      </c>
      <c r="B16" s="18"/>
      <c r="C16" s="18"/>
      <c r="D16" s="18"/>
      <c r="E16" s="18"/>
      <c r="F16" s="18"/>
      <c r="G16" s="28">
        <f>G13*G15</f>
        <v>2771.0357980582316</v>
      </c>
      <c r="H16" s="28">
        <f>H13*H15</f>
        <v>2735.1277353300143</v>
      </c>
      <c r="I16" s="28">
        <f>I13*I15</f>
        <v>2742.5558339390723</v>
      </c>
      <c r="J16" s="28">
        <f>J13*J15</f>
        <v>2690.8425918483354</v>
      </c>
      <c r="K16" s="28">
        <f>K13*K15</f>
        <v>2621.0717924572659</v>
      </c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0" customHeight="1">
      <c r="A19" s="56" t="s">
        <v>158</v>
      </c>
      <c r="B19" s="56" t="s">
        <v>158</v>
      </c>
      <c r="C19" s="56" t="s">
        <v>158</v>
      </c>
      <c r="D19" s="56" t="s">
        <v>158</v>
      </c>
      <c r="E19" s="56" t="s">
        <v>158</v>
      </c>
      <c r="F19" s="56" t="s">
        <v>158</v>
      </c>
      <c r="G19" s="1"/>
      <c r="H19" s="1"/>
      <c r="I19" s="1"/>
      <c r="J19" s="1"/>
      <c r="K19" s="1"/>
    </row>
    <row r="20" spans="1:11">
      <c r="A20" s="1" t="s">
        <v>159</v>
      </c>
      <c r="B20" s="35">
        <f>SUM(G16:K16)</f>
        <v>13560.633751632919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160</v>
      </c>
      <c r="B21" s="36">
        <f>Assumptions!B32</f>
        <v>0.02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 t="s">
        <v>161</v>
      </c>
      <c r="B22" s="35">
        <f>K13*(1+B21)/(WACC!$B$22-B21)</f>
        <v>63411.905383306213</v>
      </c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 t="s">
        <v>162</v>
      </c>
      <c r="B23" s="35">
        <f>B22*K15</f>
        <v>42614.377233900334</v>
      </c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 t="s">
        <v>163</v>
      </c>
      <c r="B24" s="35">
        <f>SUM(B20,B23)</f>
        <v>56175.010985533256</v>
      </c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 t="s">
        <v>164</v>
      </c>
      <c r="B25" s="35">
        <f>-WACC!B11</f>
        <v>-16456</v>
      </c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 t="s">
        <v>165</v>
      </c>
      <c r="B26" s="35">
        <f>'Balance Sheet'!F6</f>
        <v>5488</v>
      </c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 t="s">
        <v>166</v>
      </c>
      <c r="B27" s="35">
        <f>SUM(B24:B26)</f>
        <v>45207.010985533256</v>
      </c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 t="s">
        <v>167</v>
      </c>
      <c r="B28" s="35">
        <f>Assumptions!B25</f>
        <v>454.19</v>
      </c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24" t="s">
        <v>168</v>
      </c>
      <c r="B29" s="37">
        <f>B27/B28</f>
        <v>99.533259176849455</v>
      </c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38" t="s">
        <v>45</v>
      </c>
      <c r="B30" s="39">
        <f>Assumptions!B24</f>
        <v>130.21</v>
      </c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38" t="s">
        <v>169</v>
      </c>
      <c r="B31" s="40">
        <f>B29/B30-1</f>
        <v>-0.23559435391406613</v>
      </c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0" customHeight="1">
      <c r="A34" s="56" t="s">
        <v>170</v>
      </c>
      <c r="B34" s="56" t="s">
        <v>170</v>
      </c>
      <c r="C34" s="56" t="s">
        <v>170</v>
      </c>
      <c r="D34" s="56" t="s">
        <v>170</v>
      </c>
      <c r="E34" s="56" t="s">
        <v>170</v>
      </c>
      <c r="F34" s="56" t="s">
        <v>170</v>
      </c>
      <c r="G34" s="1"/>
      <c r="H34" s="1"/>
      <c r="I34" s="1"/>
      <c r="J34" s="1"/>
      <c r="K34" s="1"/>
    </row>
    <row r="35" spans="1:11">
      <c r="A35" s="1" t="s">
        <v>171</v>
      </c>
      <c r="B35" s="35">
        <f>K6+K9</f>
        <v>9273.1085955303915</v>
      </c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 t="s">
        <v>60</v>
      </c>
      <c r="B36" s="41">
        <f>Assumptions!B33</f>
        <v>8</v>
      </c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 t="s">
        <v>161</v>
      </c>
      <c r="B37" s="35">
        <f>B35*B36</f>
        <v>74184.868764243132</v>
      </c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 t="s">
        <v>162</v>
      </c>
      <c r="B38" s="35">
        <f>B37*K15</f>
        <v>49854.076509095081</v>
      </c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 t="s">
        <v>163</v>
      </c>
      <c r="B39" s="35">
        <f>SUM(B20,B38)</f>
        <v>63414.710260727996</v>
      </c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 t="s">
        <v>166</v>
      </c>
      <c r="B40" s="35">
        <f>B39+SUM(B25:B26)</f>
        <v>52446.710260727996</v>
      </c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42" t="s">
        <v>168</v>
      </c>
      <c r="B41" s="43">
        <f>B40/B28</f>
        <v>115.47306250848322</v>
      </c>
      <c r="C41" s="1"/>
      <c r="D41" s="1"/>
      <c r="E41" s="1"/>
      <c r="F41" s="1"/>
      <c r="G41" s="1"/>
      <c r="H41" s="1"/>
      <c r="I41" s="1"/>
      <c r="J41" s="1"/>
      <c r="K41" s="1"/>
    </row>
  </sheetData>
  <mergeCells count="4">
    <mergeCell ref="A1:K1"/>
    <mergeCell ref="A2:K2"/>
    <mergeCell ref="A19:F19"/>
    <mergeCell ref="A34:F3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1"/>
  <sheetViews>
    <sheetView showGridLines="0" workbookViewId="0">
      <selection sqref="A1:K1"/>
    </sheetView>
  </sheetViews>
  <sheetFormatPr baseColWidth="10" defaultColWidth="8.83203125" defaultRowHeight="15"/>
  <cols>
    <col min="1" max="1" width="30" customWidth="1"/>
    <col min="2" max="11" width="13" customWidth="1"/>
  </cols>
  <sheetData>
    <row r="1" spans="1:11" ht="26" customHeight="1">
      <c r="A1" s="59" t="s">
        <v>172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1"/>
      <c r="B5" s="44" t="s">
        <v>173</v>
      </c>
      <c r="C5" s="45">
        <v>0.01</v>
      </c>
      <c r="D5" s="45">
        <v>1.4999999999999999E-2</v>
      </c>
      <c r="E5" s="45">
        <v>0.02</v>
      </c>
      <c r="F5" s="45">
        <v>2.5000000000000001E-2</v>
      </c>
      <c r="G5" s="45">
        <v>0.03</v>
      </c>
      <c r="H5" s="1"/>
      <c r="I5" s="1"/>
      <c r="J5" s="1"/>
      <c r="K5" s="1"/>
    </row>
    <row r="6" spans="1:11">
      <c r="A6" s="1"/>
      <c r="B6" s="46">
        <v>7.0000000000000007E-2</v>
      </c>
      <c r="C6" s="47">
        <f>(SUMPRODUCT('DCF Valuation'!$G$13:$K$13,1/(1+$B6)^'DCF Valuation'!$G$14:$K$14)+('DCF Valuation'!$K$13*(1+C$5)/($B6-C$5))/(1+$B6)^'DCF Valuation'!$K$14-WACC!$B$11+'Balance Sheet'!$F$6)/Assumptions!$B$25</f>
        <v>109.84628846596479</v>
      </c>
      <c r="D6" s="47">
        <f>(SUMPRODUCT('DCF Valuation'!$G$13:$K$13,1/(1+$B6)^'DCF Valuation'!$G$14:$K$14)+('DCF Valuation'!$K$13*(1+D$5)/($B6-D$5))/(1+$B6)^'DCF Valuation'!$K$14-WACC!$B$11+'Balance Sheet'!$F$6)/Assumptions!$B$25</f>
        <v>119.77234991002452</v>
      </c>
      <c r="E6" s="47">
        <f>(SUMPRODUCT('DCF Valuation'!$G$13:$K$13,1/(1+$B6)^'DCF Valuation'!$G$14:$K$14)+('DCF Valuation'!$K$13*(1+E$5)/($B6-E$5))/(1+$B6)^'DCF Valuation'!$K$14-WACC!$B$11+'Balance Sheet'!$F$6)/Assumptions!$B$25</f>
        <v>131.68362364289624</v>
      </c>
      <c r="F6" s="47">
        <f>(SUMPRODUCT('DCF Valuation'!$G$13:$K$13,1/(1+$B6)^'DCF Valuation'!$G$14:$K$14)+('DCF Valuation'!$K$13*(1+F$5)/($B6-F$5))/(1+$B6)^'DCF Valuation'!$K$14-WACC!$B$11+'Balance Sheet'!$F$6)/Assumptions!$B$25</f>
        <v>146.24184709418384</v>
      </c>
      <c r="G6" s="47">
        <f>(SUMPRODUCT('DCF Valuation'!$G$13:$K$13,1/(1+$B6)^'DCF Valuation'!$G$14:$K$14)+('DCF Valuation'!$K$13*(1+G$5)/($B6-G$5))/(1+$B6)^'DCF Valuation'!$K$14-WACC!$B$11+'Balance Sheet'!$F$6)/Assumptions!$B$25</f>
        <v>164.43962640829341</v>
      </c>
      <c r="H6" s="1"/>
      <c r="I6" s="1"/>
      <c r="J6" s="1"/>
      <c r="K6" s="1"/>
    </row>
    <row r="7" spans="1:11">
      <c r="A7" s="1"/>
      <c r="B7" s="46">
        <v>7.4999999999999997E-2</v>
      </c>
      <c r="C7" s="47">
        <f>(SUMPRODUCT('DCF Valuation'!$G$13:$K$13,1/(1+$B7)^'DCF Valuation'!$G$14:$K$14)+('DCF Valuation'!$K$13*(1+C$5)/($B7-C$5))/(1+$B7)^'DCF Valuation'!$K$14-WACC!$B$11+'Balance Sheet'!$F$6)/Assumptions!$B$25</f>
        <v>99.297636359138778</v>
      </c>
      <c r="D7" s="47">
        <f>(SUMPRODUCT('DCF Valuation'!$G$13:$K$13,1/(1+$B7)^'DCF Valuation'!$G$14:$K$14)+('DCF Valuation'!$K$13*(1+D$5)/($B7-D$5))/(1+$B7)^'DCF Valuation'!$K$14-WACC!$B$11+'Balance Sheet'!$F$6)/Assumptions!$B$25</f>
        <v>107.54143823548749</v>
      </c>
      <c r="E7" s="47">
        <f>(SUMPRODUCT('DCF Valuation'!$G$13:$K$13,1/(1+$B7)^'DCF Valuation'!$G$14:$K$14)+('DCF Valuation'!$K$13*(1+E$5)/($B7-E$5))/(1+$B7)^'DCF Valuation'!$K$14-WACC!$B$11+'Balance Sheet'!$F$6)/Assumptions!$B$25</f>
        <v>117.2841131802632</v>
      </c>
      <c r="F7" s="47">
        <f>(SUMPRODUCT('DCF Valuation'!$G$13:$K$13,1/(1+$B7)^'DCF Valuation'!$G$14:$K$14)+('DCF Valuation'!$K$13*(1+F$5)/($B7-F$5))/(1+$B7)^'DCF Valuation'!$K$14-WACC!$B$11+'Balance Sheet'!$F$6)/Assumptions!$B$25</f>
        <v>128.97532311399408</v>
      </c>
      <c r="G7" s="47">
        <f>(SUMPRODUCT('DCF Valuation'!$G$13:$K$13,1/(1+$B7)^'DCF Valuation'!$G$14:$K$14)+('DCF Valuation'!$K$13*(1+G$5)/($B7-G$5))/(1+$B7)^'DCF Valuation'!$K$14-WACC!$B$11+'Balance Sheet'!$F$6)/Assumptions!$B$25</f>
        <v>143.26457969966515</v>
      </c>
      <c r="H7" s="1"/>
      <c r="I7" s="1"/>
      <c r="J7" s="1"/>
      <c r="K7" s="1"/>
    </row>
    <row r="8" spans="1:11">
      <c r="A8" s="1"/>
      <c r="B8" s="46">
        <v>0.08</v>
      </c>
      <c r="C8" s="47">
        <f>(SUMPRODUCT('DCF Valuation'!$G$13:$K$13,1/(1+$B8)^'DCF Valuation'!$G$14:$K$14)+('DCF Valuation'!$K$13*(1+C$5)/($B8-C$5))/(1+$B8)^'DCF Valuation'!$K$14-WACC!$B$11+'Balance Sheet'!$F$6)/Assumptions!$B$25</f>
        <v>90.259895242977905</v>
      </c>
      <c r="D8" s="47">
        <f>(SUMPRODUCT('DCF Valuation'!$G$13:$K$13,1/(1+$B8)^'DCF Valuation'!$G$14:$K$14)+('DCF Valuation'!$K$13*(1+D$5)/($B8-D$5))/(1+$B8)^'DCF Valuation'!$K$14-WACC!$B$11+'Balance Sheet'!$F$6)/Assumptions!$B$25</f>
        <v>97.196063045864307</v>
      </c>
      <c r="E8" s="48">
        <f>(SUMPRODUCT('DCF Valuation'!$G$13:$K$13,1/(1+$B8)^'DCF Valuation'!$G$14:$K$14)+('DCF Valuation'!$K$13*(1+E$5)/($B8-E$5))/(1+$B8)^'DCF Valuation'!$K$14-WACC!$B$11+'Balance Sheet'!$F$6)/Assumptions!$B$25</f>
        <v>105.28825881589847</v>
      </c>
      <c r="F8" s="47">
        <f>(SUMPRODUCT('DCF Valuation'!$G$13:$K$13,1/(1+$B8)^'DCF Valuation'!$G$14:$K$14)+('DCF Valuation'!$K$13*(1+F$5)/($B8-F$5))/(1+$B8)^'DCF Valuation'!$K$14-WACC!$B$11+'Balance Sheet'!$F$6)/Assumptions!$B$25</f>
        <v>114.85176290775698</v>
      </c>
      <c r="G8" s="47">
        <f>(SUMPRODUCT('DCF Valuation'!$G$13:$K$13,1/(1+$B8)^'DCF Valuation'!$G$14:$K$14)+('DCF Valuation'!$K$13*(1+G$5)/($B8-G$5))/(1+$B8)^'DCF Valuation'!$K$14-WACC!$B$11+'Balance Sheet'!$F$6)/Assumptions!$B$25</f>
        <v>126.3279678179872</v>
      </c>
      <c r="H8" s="1"/>
      <c r="I8" s="1"/>
      <c r="J8" s="1"/>
      <c r="K8" s="1"/>
    </row>
    <row r="9" spans="1:11">
      <c r="A9" s="1"/>
      <c r="B9" s="46">
        <v>8.5000000000000006E-2</v>
      </c>
      <c r="C9" s="47">
        <f>(SUMPRODUCT('DCF Valuation'!$G$13:$K$13,1/(1+$B9)^'DCF Valuation'!$G$14:$K$14)+('DCF Valuation'!$K$13*(1+C$5)/($B9-C$5))/(1+$B9)^'DCF Valuation'!$K$14-WACC!$B$11+'Balance Sheet'!$F$6)/Assumptions!$B$25</f>
        <v>82.430796561445703</v>
      </c>
      <c r="D9" s="47">
        <f>(SUMPRODUCT('DCF Valuation'!$G$13:$K$13,1/(1+$B9)^'DCF Valuation'!$G$14:$K$14)+('DCF Valuation'!$K$13*(1+D$5)/($B9-D$5))/(1+$B9)^'DCF Valuation'!$K$14-WACC!$B$11+'Balance Sheet'!$F$6)/Assumptions!$B$25</f>
        <v>88.332097384856866</v>
      </c>
      <c r="E9" s="47">
        <f>(SUMPRODUCT('DCF Valuation'!$G$13:$K$13,1/(1+$B9)^'DCF Valuation'!$G$14:$K$14)+('DCF Valuation'!$K$13*(1+E$5)/($B9-E$5))/(1+$B9)^'DCF Valuation'!$K$14-WACC!$B$11+'Balance Sheet'!$F$6)/Assumptions!$B$25</f>
        <v>95.141290642638978</v>
      </c>
      <c r="F9" s="47">
        <f>(SUMPRODUCT('DCF Valuation'!$G$13:$K$13,1/(1+$B9)^'DCF Valuation'!$G$14:$K$14)+('DCF Valuation'!$K$13*(1+F$5)/($B9-F$5))/(1+$B9)^'DCF Valuation'!$K$14-WACC!$B$11+'Balance Sheet'!$F$6)/Assumptions!$B$25</f>
        <v>103.08534944338476</v>
      </c>
      <c r="G9" s="47">
        <f>(SUMPRODUCT('DCF Valuation'!$G$13:$K$13,1/(1+$B9)^'DCF Valuation'!$G$14:$K$14)+('DCF Valuation'!$K$13*(1+G$5)/($B9-G$5))/(1+$B9)^'DCF Valuation'!$K$14-WACC!$B$11+'Balance Sheet'!$F$6)/Assumptions!$B$25</f>
        <v>112.47378257153886</v>
      </c>
      <c r="H9" s="1"/>
      <c r="I9" s="1"/>
      <c r="J9" s="1"/>
      <c r="K9" s="1"/>
    </row>
    <row r="10" spans="1:11">
      <c r="A10" s="1"/>
      <c r="B10" s="46">
        <v>0.09</v>
      </c>
      <c r="C10" s="47">
        <f>(SUMPRODUCT('DCF Valuation'!$G$13:$K$13,1/(1+$B10)^'DCF Valuation'!$G$14:$K$14)+('DCF Valuation'!$K$13*(1+C$5)/($B10-C$5))/(1+$B10)^'DCF Valuation'!$K$14-WACC!$B$11+'Balance Sheet'!$F$6)/Assumptions!$B$25</f>
        <v>75.583641210580524</v>
      </c>
      <c r="D10" s="47">
        <f>(SUMPRODUCT('DCF Valuation'!$G$13:$K$13,1/(1+$B10)^'DCF Valuation'!$G$14:$K$14)+('DCF Valuation'!$K$13*(1+D$5)/($B10-D$5))/(1+$B10)^'DCF Valuation'!$K$14-WACC!$B$11+'Balance Sheet'!$F$6)/Assumptions!$B$25</f>
        <v>80.653183703939177</v>
      </c>
      <c r="E10" s="47">
        <f>(SUMPRODUCT('DCF Valuation'!$G$13:$K$13,1/(1+$B10)^'DCF Valuation'!$G$14:$K$14)+('DCF Valuation'!$K$13*(1+E$5)/($B10-E$5))/(1+$B10)^'DCF Valuation'!$K$14-WACC!$B$11+'Balance Sheet'!$F$6)/Assumptions!$B$25</f>
        <v>86.446946553491898</v>
      </c>
      <c r="F10" s="47">
        <f>(SUMPRODUCT('DCF Valuation'!$G$13:$K$13,1/(1+$B10)^'DCF Valuation'!$G$14:$K$14)+('DCF Valuation'!$K$13*(1+F$5)/($B10-F$5))/(1+$B10)^'DCF Valuation'!$K$14-WACC!$B$11+'Balance Sheet'!$F$6)/Assumptions!$B$25</f>
        <v>93.132057533744998</v>
      </c>
      <c r="G10" s="47">
        <f>(SUMPRODUCT('DCF Valuation'!$G$13:$K$13,1/(1+$B10)^'DCF Valuation'!$G$14:$K$14)+('DCF Valuation'!$K$13*(1+G$5)/($B10-G$5))/(1+$B10)^'DCF Valuation'!$K$14-WACC!$B$11+'Balance Sheet'!$F$6)/Assumptions!$B$25</f>
        <v>100.93135367737371</v>
      </c>
      <c r="H10" s="1"/>
      <c r="I10" s="1"/>
      <c r="J10" s="1"/>
      <c r="K10" s="1"/>
    </row>
    <row r="11" spans="1:11">
      <c r="A11" s="1"/>
      <c r="B11" s="46">
        <v>9.5000000000000001E-2</v>
      </c>
      <c r="C11" s="47">
        <f>(SUMPRODUCT('DCF Valuation'!$G$13:$K$13,1/(1+$B11)^'DCF Valuation'!$G$14:$K$14)+('DCF Valuation'!$K$13*(1+C$5)/($B11-C$5))/(1+$B11)^'DCF Valuation'!$K$14-WACC!$B$11+'Balance Sheet'!$F$6)/Assumptions!$B$25</f>
        <v>69.545073156129973</v>
      </c>
      <c r="D11" s="47">
        <f>(SUMPRODUCT('DCF Valuation'!$G$13:$K$13,1/(1+$B11)^'DCF Valuation'!$G$14:$K$14)+('DCF Valuation'!$K$13*(1+D$5)/($B11-D$5))/(1+$B11)^'DCF Valuation'!$K$14-WACC!$B$11+'Balance Sheet'!$F$6)/Assumptions!$B$25</f>
        <v>73.937055852844395</v>
      </c>
      <c r="E11" s="47">
        <f>(SUMPRODUCT('DCF Valuation'!$G$13:$K$13,1/(1+$B11)^'DCF Valuation'!$G$14:$K$14)+('DCF Valuation'!$K$13*(1+E$5)/($B11-E$5))/(1+$B11)^'DCF Valuation'!$K$14-WACC!$B$11+'Balance Sheet'!$F$6)/Assumptions!$B$25</f>
        <v>78.91463624245408</v>
      </c>
      <c r="F11" s="47">
        <f>(SUMPRODUCT('DCF Valuation'!$G$13:$K$13,1/(1+$B11)^'DCF Valuation'!$G$14:$K$14)+('DCF Valuation'!$K$13*(1+F$5)/($B11-F$5))/(1+$B11)^'DCF Valuation'!$K$14-WACC!$B$11+'Balance Sheet'!$F$6)/Assumptions!$B$25</f>
        <v>84.603299544865095</v>
      </c>
      <c r="G11" s="47">
        <f>(SUMPRODUCT('DCF Valuation'!$G$13:$K$13,1/(1+$B11)^'DCF Valuation'!$G$14:$K$14)+('DCF Valuation'!$K$13*(1+G$5)/($B11-G$5))/(1+$B11)^'DCF Valuation'!$K$14-WACC!$B$11+'Balance Sheet'!$F$6)/Assumptions!$B$25</f>
        <v>91.167141816877859</v>
      </c>
      <c r="H11" s="1"/>
      <c r="I11" s="1"/>
      <c r="J11" s="1"/>
      <c r="K11" s="1"/>
    </row>
  </sheetData>
  <mergeCells count="2">
    <mergeCell ref="A1:K1"/>
    <mergeCell ref="A2:K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showGridLines="0" workbookViewId="0">
      <selection activeCell="H7" sqref="H7"/>
    </sheetView>
  </sheetViews>
  <sheetFormatPr baseColWidth="10" defaultColWidth="8.83203125" defaultRowHeight="15"/>
  <cols>
    <col min="1" max="1" width="32" customWidth="1"/>
    <col min="2" max="11" width="13" customWidth="1"/>
  </cols>
  <sheetData>
    <row r="1" spans="1:11" ht="26" customHeight="1">
      <c r="A1" s="59" t="s">
        <v>174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8" customHeight="1">
      <c r="A2" s="55" t="s">
        <v>175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60" t="s">
        <v>176</v>
      </c>
      <c r="B5" s="60" t="s">
        <v>51</v>
      </c>
      <c r="C5" s="60" t="s">
        <v>177</v>
      </c>
      <c r="D5" s="60" t="s">
        <v>178</v>
      </c>
      <c r="E5" s="1"/>
      <c r="F5" s="1"/>
      <c r="G5" s="1"/>
      <c r="H5" s="1"/>
      <c r="I5" s="1"/>
      <c r="J5" s="1"/>
      <c r="K5" s="1"/>
    </row>
    <row r="6" spans="1:11">
      <c r="A6" s="1" t="s">
        <v>179</v>
      </c>
      <c r="B6" s="49">
        <v>0.6</v>
      </c>
      <c r="C6" s="41">
        <v>42.53</v>
      </c>
      <c r="D6" s="41">
        <v>22.93</v>
      </c>
      <c r="E6" s="1"/>
      <c r="F6" s="1"/>
      <c r="G6" s="1"/>
      <c r="H6" s="1"/>
      <c r="I6" s="1"/>
      <c r="J6" s="1"/>
      <c r="K6" s="1"/>
    </row>
    <row r="7" spans="1:11">
      <c r="A7" s="1" t="s">
        <v>180</v>
      </c>
      <c r="B7" s="49">
        <v>0.87</v>
      </c>
      <c r="C7" s="41">
        <v>46.51</v>
      </c>
      <c r="D7" s="41">
        <v>29.63</v>
      </c>
      <c r="E7" s="1"/>
      <c r="F7" s="1"/>
      <c r="G7" s="1"/>
      <c r="H7" s="1"/>
      <c r="I7" s="1"/>
      <c r="J7" s="1"/>
      <c r="K7" s="1"/>
    </row>
    <row r="8" spans="1:11">
      <c r="A8" s="1" t="s">
        <v>181</v>
      </c>
      <c r="B8" s="49">
        <v>0.73</v>
      </c>
      <c r="C8" s="41">
        <v>33.119999999999997</v>
      </c>
      <c r="D8" s="41">
        <v>22.05</v>
      </c>
      <c r="E8" s="1"/>
      <c r="F8" s="1"/>
      <c r="G8" s="1"/>
      <c r="H8" s="1"/>
      <c r="I8" s="1"/>
      <c r="J8" s="1"/>
      <c r="K8" s="1"/>
    </row>
    <row r="9" spans="1:11">
      <c r="A9" s="1" t="s">
        <v>182</v>
      </c>
      <c r="B9" s="49">
        <v>0.25</v>
      </c>
      <c r="C9" s="41">
        <v>16.71</v>
      </c>
      <c r="D9" s="41">
        <v>11.96</v>
      </c>
      <c r="E9" s="1"/>
      <c r="F9" s="1"/>
      <c r="G9" s="1"/>
      <c r="H9" s="1"/>
      <c r="I9" s="1"/>
      <c r="J9" s="1"/>
      <c r="K9" s="1"/>
    </row>
    <row r="10" spans="1:11">
      <c r="A10" s="18" t="s">
        <v>183</v>
      </c>
      <c r="B10" s="50">
        <f>MEDIAN(B6:B9)</f>
        <v>0.66500000000000004</v>
      </c>
      <c r="C10" s="51">
        <f>MEDIAN(C6:C9)</f>
        <v>37.825000000000003</v>
      </c>
      <c r="D10" s="51">
        <f>MEDIAN(D6:D9)</f>
        <v>22.490000000000002</v>
      </c>
      <c r="E10" s="1"/>
      <c r="F10" s="1"/>
      <c r="G10" s="1"/>
      <c r="H10" s="1"/>
      <c r="I10" s="1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0" customHeight="1">
      <c r="A13" s="61" t="s">
        <v>184</v>
      </c>
      <c r="B13" s="61" t="s">
        <v>184</v>
      </c>
      <c r="C13" s="61" t="s">
        <v>184</v>
      </c>
      <c r="D13" s="61" t="s">
        <v>184</v>
      </c>
      <c r="E13" s="61" t="s">
        <v>184</v>
      </c>
      <c r="F13" s="61" t="s">
        <v>184</v>
      </c>
      <c r="G13" s="1"/>
      <c r="H13" s="1"/>
      <c r="I13" s="1"/>
      <c r="J13" s="1"/>
      <c r="K13" s="1"/>
    </row>
    <row r="14" spans="1:11">
      <c r="A14" s="1" t="s">
        <v>185</v>
      </c>
      <c r="B14" s="15">
        <f>'Income Statement'!F26</f>
        <v>8.1300000000000008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 t="s">
        <v>186</v>
      </c>
      <c r="B15" s="15">
        <f>'Income Statement'!F14+'Income Statement'!F12</f>
        <v>7734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 t="s">
        <v>187</v>
      </c>
      <c r="B16" s="15">
        <f>WACC!B8</f>
        <v>59140.079900000004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 t="s">
        <v>188</v>
      </c>
      <c r="B17" s="15">
        <f>WACC!B8+WACC!B11-'Balance Sheet'!F6</f>
        <v>70108.079900000012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 t="s">
        <v>189</v>
      </c>
      <c r="B18" s="52">
        <f>Assumptions!B24/B14</f>
        <v>16.015990159901598</v>
      </c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 t="s">
        <v>190</v>
      </c>
      <c r="B19" s="52">
        <f>B17/B15</f>
        <v>9.0649185285751237</v>
      </c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 t="s">
        <v>191</v>
      </c>
      <c r="B20" s="27">
        <f>C10*B14</f>
        <v>307.51725000000005</v>
      </c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 t="s">
        <v>192</v>
      </c>
      <c r="B21" s="15">
        <f>D10*B15</f>
        <v>173937.66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 t="s">
        <v>193</v>
      </c>
      <c r="B22" s="27">
        <f>(B21-WACC!B11+'Balance Sheet'!F6)/Assumptions!B25</f>
        <v>358.8138444263414</v>
      </c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58" t="s">
        <v>194</v>
      </c>
      <c r="B25" s="58"/>
      <c r="C25" s="58"/>
      <c r="D25" s="58"/>
      <c r="E25" s="58"/>
      <c r="F25" s="58"/>
      <c r="G25" s="1"/>
      <c r="H25" s="1"/>
      <c r="I25" s="1"/>
      <c r="J25" s="1"/>
      <c r="K25" s="1"/>
    </row>
    <row r="26" spans="1:11">
      <c r="A26" s="58"/>
      <c r="B26" s="58"/>
      <c r="C26" s="58"/>
      <c r="D26" s="58"/>
      <c r="E26" s="58"/>
      <c r="F26" s="58"/>
      <c r="G26" s="1"/>
      <c r="H26" s="1"/>
      <c r="I26" s="1"/>
      <c r="J26" s="1"/>
      <c r="K26" s="1"/>
    </row>
    <row r="27" spans="1:11">
      <c r="A27" s="58"/>
      <c r="B27" s="58"/>
      <c r="C27" s="58"/>
      <c r="D27" s="58"/>
      <c r="E27" s="58"/>
      <c r="F27" s="58"/>
      <c r="G27" s="1"/>
      <c r="H27" s="1"/>
      <c r="I27" s="1"/>
      <c r="J27" s="1"/>
      <c r="K27" s="1"/>
    </row>
    <row r="28" spans="1:11">
      <c r="A28" s="58"/>
      <c r="B28" s="58"/>
      <c r="C28" s="58"/>
      <c r="D28" s="58"/>
      <c r="E28" s="58"/>
      <c r="F28" s="58"/>
      <c r="G28" s="1"/>
      <c r="H28" s="1"/>
      <c r="I28" s="1"/>
      <c r="J28" s="1"/>
      <c r="K28" s="1"/>
    </row>
  </sheetData>
  <mergeCells count="4">
    <mergeCell ref="A1:K1"/>
    <mergeCell ref="A2:K2"/>
    <mergeCell ref="A13:F13"/>
    <mergeCell ref="A25:F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 Statement</vt:lpstr>
      <vt:lpstr>WACC</vt:lpstr>
      <vt:lpstr>DCF Valuation</vt:lpstr>
      <vt:lpstr>Sensitivity</vt:lpstr>
      <vt:lpstr>Trading Comps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Keshkamat,Ria</cp:lastModifiedBy>
  <dcterms:modified xsi:type="dcterms:W3CDTF">2026-07-19T19:47:38Z</dcterms:modified>
</cp:coreProperties>
</file>